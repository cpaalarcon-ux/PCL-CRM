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c912078e34e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ning TB" sheetId="1" r:id="Ra3f6d09637a44903"/>
    <x:sheet xmlns:r="http://schemas.openxmlformats.org/officeDocument/2006/relationships" name="Read first" sheetId="2" r:id="R9380e36d434749e0"/>
    <x:sheet xmlns:r="http://schemas.openxmlformats.org/officeDocument/2006/relationships" name="ERP account codes" sheetId="3" r:id="R5cd8275654aa4013"/>
  </x:sheets>
  <x:definedNames>
    <x:definedName name="ERP_TB_Item_Codes">'ERP account codes'!$A$5:$A$273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(#,##0.00);-"/>
  </x:numFmts>
  <x:fonts count="5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4"/>
      <x:color rgb="FFFFFFFF"/>
      <x:name val="Arial"/>
    </x:font>
    <x:font>
      <x:b/>
      <x:sz val="10"/>
      <x:color rgb="FF0B3D2E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B3D2E"/>
      </x:patternFill>
    </x:fill>
    <x:fill>
      <x:patternFill patternType="solid">
        <x:fgColor rgb="FFFFF7D6"/>
      </x:patternFill>
    </x:fill>
    <x:fill>
      <x:patternFill patternType="solid">
        <x:fgColor rgb="FFEAF2EF"/>
      </x:patternFill>
    </x:fill>
    <x:fill>
      <x:patternFill patternType="solid">
        <x:fgColor rgb="FF315F5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1" fontId="1" fillId="3" borderId="0" xfId="0" applyNumberFormat="1" applyFont="1" applyFill="1" applyBorder="1"/>
    <x:xf numFmtId="201" fontId="1" fillId="3" borderId="0" xfId="0" applyNumberFormat="1" applyFont="1" applyFill="1" applyBorder="1" applyAlignment="1">
      <x:alignment horizontal="right"/>
    </x:xf>
    <x:xf numFmtId="0" fontId="1" fillId="3" borderId="0" xfId="0" applyNumberFormat="1" applyFont="1" applyFill="1" applyBorder="1" applyAlignment="1">
      <x:alignment wrapText="0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a4113f5a8046e4" /><Relationship Type="http://schemas.openxmlformats.org/officeDocument/2006/relationships/theme" Target="/xl/theme/theme1.xml" Id="Ra6d8f9fb85b54ed1" /><Relationship Type="http://schemas.openxmlformats.org/officeDocument/2006/relationships/sharedStrings" Target="/xl/sharedStrings.xml" Id="R61339ce0dec14527" /><Relationship Type="http://schemas.openxmlformats.org/officeDocument/2006/relationships/worksheet" Target="/xl/worksheets/sheet1.xml" Id="Ra3f6d09637a44903" /><Relationship Type="http://schemas.openxmlformats.org/officeDocument/2006/relationships/worksheet" Target="/xl/worksheets/sheet2.xml" Id="R9380e36d434749e0" /><Relationship Type="http://schemas.openxmlformats.org/officeDocument/2006/relationships/worksheet" Target="/xl/worksheets/sheet3.xml" Id="R5cd8275654aa4013" /></Relationships>
</file>

<file path=xl/tables/table1.xml><?xml version="1.0" encoding="utf-8"?>
<x:table xmlns:x="http://schemas.openxmlformats.org/spreadsheetml/2006/main" id="3" name="OpeningBalances" displayName="OpeningBalances" ref="A1:F1" headerRowCount="1" totalsRowCount="0" totalsRowShown="0">
  <x:tableColumns count="6">
    <x:tableColumn id="1" name="Source account code"/>
    <x:tableColumn id="2" name="Source account name"/>
    <x:tableColumn id="3" name="ERP routing code"/>
    <x:tableColumn id="4" name="ERP TB item code"/>
    <x:tableColumn id="5" name="Debit (KES)"/>
    <x:tableColumn id="6" name="Credit (KES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RPAccountCodes" displayName="ERPAccountCodes" ref="A4:F273" headerRowCount="1" totalsRowCount="0" totalsRowShown="0">
  <x:tableColumns count="6">
    <x:tableColumn id="1" name="ERP TB item code"/>
    <x:tableColumn id="2" name="Account name"/>
    <x:tableColumn id="3" name="Routing code"/>
    <x:tableColumn id="4" name="Account group"/>
    <x:tableColumn id="5" name="Statement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625595908b40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f4e9888745415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20" hidden="0" customWidth="1"/>
    <x:col min="5" max="5" width="17" hidden="0" customWidth="1"/>
    <x:col min="6" max="6" width="17" hidden="0" customWidth="1"/>
    <x:col min="7" max="7" width="0" hidden="0" customWidth="1"/>
    <x:col min="8" max="8" width="0" hidden="0" customWidth="1"/>
    <x:col min="9" max="9" width="0" hidden="0" customWidth="1"/>
  </x:cols>
  <x:sheetData>
    <x:row r="1" ht="32" customHeight="1">
      <x:c r="A1" s="5" t="str">
        <x:v>Source account code</x:v>
      </x:c>
      <x:c r="B1" s="5" t="str">
        <x:v>Source account name</x:v>
      </x:c>
      <x:c r="C1" s="5" t="str">
        <x:v>ERP routing code</x:v>
      </x:c>
      <x:c r="D1" s="5" t="str">
        <x:v>ERP TB item code</x:v>
      </x:c>
      <x:c r="E1" s="5" t="str">
        <x:v>Debit (KES)</x:v>
      </x:c>
      <x:c r="F1" s="5" t="str">
        <x:v>Credit (KES)</x:v>
      </x:c>
      <x:c r="G1"/>
      <x:c r="H1"/>
      <x:c r="I1"/>
    </x:row>
    <x:row r="2">
      <x:c r="A2" s="8" t="str"/>
      <x:c r="B2" s="6" t="str"/>
      <x:c r="C2" s="9" t="str">
        <x:f>IF(D2="","",IFERROR(VLOOKUP(D2,'ERP account codes'!$A$5:$C$273,3,FALSE),"CHECK CODE"))</x:f>
      </x:c>
      <x:c r="D2" s="8" t="str"/>
      <x:c r="E2" s="11"/>
      <x:c r="F2" s="11"/>
      <x:c r="G2"/>
      <x:c r="H2"/>
      <x:c r="I2"/>
    </x:row>
    <x:row r="3">
      <x:c r="A3" s="8" t="str"/>
      <x:c r="B3" s="6" t="str"/>
      <x:c r="C3" s="9" t="str">
        <x:f>IF(D3="","",IFERROR(VLOOKUP(D3,'ERP account codes'!$A$5:$C$273,3,FALSE),"CHECK CODE"))</x:f>
      </x:c>
      <x:c r="D3" s="8" t="str"/>
      <x:c r="E3" s="11"/>
      <x:c r="F3" s="11"/>
      <x:c r="G3"/>
      <x:c r="H3"/>
      <x:c r="I3"/>
    </x:row>
    <x:row r="4">
      <x:c r="A4" s="8" t="str"/>
      <x:c r="B4" s="6" t="str"/>
      <x:c r="C4" s="9" t="str">
        <x:f>IF(D4="","",IFERROR(VLOOKUP(D4,'ERP account codes'!$A$5:$C$273,3,FALSE),"CHECK CODE"))</x:f>
      </x:c>
      <x:c r="D4" s="8" t="str"/>
      <x:c r="E4" s="11"/>
      <x:c r="F4" s="11"/>
      <x:c r="G4"/>
      <x:c r="H4"/>
      <x:c r="I4"/>
    </x:row>
    <x:row r="5">
      <x:c r="A5" s="8" t="str"/>
      <x:c r="B5" s="6" t="str"/>
      <x:c r="C5" s="9" t="str">
        <x:f>IF(D5="","",IFERROR(VLOOKUP(D5,'ERP account codes'!$A$5:$C$273,3,FALSE),"CHECK CODE"))</x:f>
      </x:c>
      <x:c r="D5" s="8" t="str"/>
      <x:c r="E5" s="11"/>
      <x:c r="F5" s="11"/>
      <x:c r="G5"/>
      <x:c r="H5"/>
      <x:c r="I5"/>
    </x:row>
    <x:row r="6">
      <x:c r="A6" s="8" t="str"/>
      <x:c r="B6" s="6" t="str"/>
      <x:c r="C6" s="9" t="str">
        <x:f>IF(D6="","",IFERROR(VLOOKUP(D6,'ERP account codes'!$A$5:$C$273,3,FALSE),"CHECK CODE"))</x:f>
      </x:c>
      <x:c r="D6" s="8" t="str"/>
      <x:c r="E6" s="11"/>
      <x:c r="F6" s="11"/>
      <x:c r="G6"/>
      <x:c r="H6"/>
      <x:c r="I6"/>
    </x:row>
    <x:row r="7">
      <x:c r="A7" s="8" t="str"/>
      <x:c r="B7" s="6" t="str"/>
      <x:c r="C7" s="9" t="str">
        <x:f>IF(D7="","",IFERROR(VLOOKUP(D7,'ERP account codes'!$A$5:$C$273,3,FALSE),"CHECK CODE"))</x:f>
      </x:c>
      <x:c r="D7" s="8" t="str"/>
      <x:c r="E7" s="11"/>
      <x:c r="F7" s="11"/>
      <x:c r="G7"/>
      <x:c r="H7"/>
      <x:c r="I7"/>
    </x:row>
    <x:row r="8">
      <x:c r="A8" s="8" t="str"/>
      <x:c r="B8" s="6" t="str"/>
      <x:c r="C8" s="9" t="str">
        <x:f>IF(D8="","",IFERROR(VLOOKUP(D8,'ERP account codes'!$A$5:$C$273,3,FALSE),"CHECK CODE"))</x:f>
      </x:c>
      <x:c r="D8" s="8" t="str"/>
      <x:c r="E8" s="11"/>
      <x:c r="F8" s="11"/>
      <x:c r="G8"/>
      <x:c r="H8"/>
      <x:c r="I8"/>
    </x:row>
    <x:row r="9">
      <x:c r="A9" s="8" t="str"/>
      <x:c r="B9" s="6" t="str"/>
      <x:c r="C9" s="9" t="str">
        <x:f>IF(D9="","",IFERROR(VLOOKUP(D9,'ERP account codes'!$A$5:$C$273,3,FALSE),"CHECK CODE"))</x:f>
      </x:c>
      <x:c r="D9" s="8" t="str"/>
      <x:c r="E9" s="11"/>
      <x:c r="F9" s="11"/>
      <x:c r="G9"/>
      <x:c r="H9"/>
      <x:c r="I9"/>
    </x:row>
    <x:row r="10">
      <x:c r="A10" s="8" t="str"/>
      <x:c r="B10" s="6" t="str"/>
      <x:c r="C10" s="9" t="str">
        <x:f>IF(D10="","",IFERROR(VLOOKUP(D10,'ERP account codes'!$A$5:$C$273,3,FALSE),"CHECK CODE"))</x:f>
      </x:c>
      <x:c r="D10" s="8" t="str"/>
      <x:c r="E10" s="11"/>
      <x:c r="F10" s="11"/>
      <x:c r="G10"/>
      <x:c r="H10"/>
      <x:c r="I10"/>
    </x:row>
    <x:row r="11">
      <x:c r="A11" s="8" t="str"/>
      <x:c r="B11" s="6" t="str"/>
      <x:c r="C11" s="9" t="str">
        <x:f>IF(D11="","",IFERROR(VLOOKUP(D11,'ERP account codes'!$A$5:$C$273,3,FALSE),"CHECK CODE"))</x:f>
      </x:c>
      <x:c r="D11" s="8" t="str"/>
      <x:c r="E11" s="11"/>
      <x:c r="F11" s="11"/>
      <x:c r="G11"/>
      <x:c r="H11"/>
      <x:c r="I11"/>
    </x:row>
    <x:row r="12">
      <x:c r="A12" s="8" t="str"/>
      <x:c r="B12" s="6" t="str"/>
      <x:c r="C12" s="9" t="str">
        <x:f>IF(D12="","",IFERROR(VLOOKUP(D12,'ERP account codes'!$A$5:$C$273,3,FALSE),"CHECK CODE"))</x:f>
      </x:c>
      <x:c r="D12" s="8" t="str"/>
      <x:c r="E12" s="11"/>
      <x:c r="F12" s="11"/>
      <x:c r="G12"/>
      <x:c r="H12"/>
      <x:c r="I12"/>
    </x:row>
    <x:row r="13">
      <x:c r="A13" s="8" t="str"/>
      <x:c r="B13" s="6" t="str"/>
      <x:c r="C13" s="9" t="str">
        <x:f>IF(D13="","",IFERROR(VLOOKUP(D13,'ERP account codes'!$A$5:$C$273,3,FALSE),"CHECK CODE"))</x:f>
      </x:c>
      <x:c r="D13" s="8" t="str"/>
      <x:c r="E13" s="11"/>
      <x:c r="F13" s="11"/>
      <x:c r="G13"/>
      <x:c r="H13"/>
      <x:c r="I13"/>
    </x:row>
    <x:row r="14">
      <x:c r="A14" s="8" t="str"/>
      <x:c r="B14" s="6" t="str"/>
      <x:c r="C14" s="9" t="str">
        <x:f>IF(D14="","",IFERROR(VLOOKUP(D14,'ERP account codes'!$A$5:$C$273,3,FALSE),"CHECK CODE"))</x:f>
      </x:c>
      <x:c r="D14" s="8" t="str"/>
      <x:c r="E14" s="11"/>
      <x:c r="F14" s="11"/>
      <x:c r="G14"/>
      <x:c r="H14"/>
      <x:c r="I14"/>
    </x:row>
    <x:row r="15">
      <x:c r="A15" s="8" t="str"/>
      <x:c r="B15" s="6" t="str"/>
      <x:c r="C15" s="9" t="str">
        <x:f>IF(D15="","",IFERROR(VLOOKUP(D15,'ERP account codes'!$A$5:$C$273,3,FALSE),"CHECK CODE"))</x:f>
      </x:c>
      <x:c r="D15" s="8" t="str"/>
      <x:c r="E15" s="11"/>
      <x:c r="F15" s="11"/>
      <x:c r="G15"/>
      <x:c r="H15"/>
      <x:c r="I15"/>
    </x:row>
    <x:row r="16">
      <x:c r="A16" s="8" t="str"/>
      <x:c r="B16" s="6" t="str"/>
      <x:c r="C16" s="9" t="str">
        <x:f>IF(D16="","",IFERROR(VLOOKUP(D16,'ERP account codes'!$A$5:$C$273,3,FALSE),"CHECK CODE"))</x:f>
      </x:c>
      <x:c r="D16" s="8" t="str"/>
      <x:c r="E16" s="11"/>
      <x:c r="F16" s="11"/>
      <x:c r="G16"/>
      <x:c r="H16"/>
      <x:c r="I16"/>
    </x:row>
    <x:row r="17">
      <x:c r="A17" s="8" t="str"/>
      <x:c r="B17" s="6" t="str"/>
      <x:c r="C17" s="9" t="str">
        <x:f>IF(D17="","",IFERROR(VLOOKUP(D17,'ERP account codes'!$A$5:$C$273,3,FALSE),"CHECK CODE"))</x:f>
      </x:c>
      <x:c r="D17" s="8" t="str"/>
      <x:c r="E17" s="11"/>
      <x:c r="F17" s="11"/>
      <x:c r="G17"/>
      <x:c r="H17"/>
      <x:c r="I17"/>
    </x:row>
    <x:row r="18">
      <x:c r="A18" s="8" t="str"/>
      <x:c r="B18" s="6" t="str"/>
      <x:c r="C18" s="9" t="str">
        <x:f>IF(D18="","",IFERROR(VLOOKUP(D18,'ERP account codes'!$A$5:$C$273,3,FALSE),"CHECK CODE"))</x:f>
      </x:c>
      <x:c r="D18" s="8" t="str"/>
      <x:c r="E18" s="11"/>
      <x:c r="F18" s="11"/>
      <x:c r="G18"/>
      <x:c r="H18"/>
      <x:c r="I18"/>
    </x:row>
    <x:row r="19">
      <x:c r="A19" s="8" t="str"/>
      <x:c r="B19" s="6" t="str"/>
      <x:c r="C19" s="9" t="str">
        <x:f>IF(D19="","",IFERROR(VLOOKUP(D19,'ERP account codes'!$A$5:$C$273,3,FALSE),"CHECK CODE"))</x:f>
      </x:c>
      <x:c r="D19" s="8" t="str"/>
      <x:c r="E19" s="11"/>
      <x:c r="F19" s="11"/>
      <x:c r="G19"/>
      <x:c r="H19"/>
      <x:c r="I19"/>
    </x:row>
    <x:row r="20">
      <x:c r="A20" s="8" t="str"/>
      <x:c r="B20" s="6" t="str"/>
      <x:c r="C20" s="9" t="str">
        <x:f>IF(D20="","",IFERROR(VLOOKUP(D20,'ERP account codes'!$A$5:$C$273,3,FALSE),"CHECK CODE"))</x:f>
      </x:c>
      <x:c r="D20" s="8" t="str"/>
      <x:c r="E20" s="11"/>
      <x:c r="F20" s="11"/>
      <x:c r="G20"/>
      <x:c r="H20"/>
      <x:c r="I20"/>
    </x:row>
    <x:row r="21">
      <x:c r="A21" s="8" t="str"/>
      <x:c r="B21" s="6" t="str"/>
      <x:c r="C21" s="9" t="str">
        <x:f>IF(D21="","",IFERROR(VLOOKUP(D21,'ERP account codes'!$A$5:$C$273,3,FALSE),"CHECK CODE"))</x:f>
      </x:c>
      <x:c r="D21" s="8" t="str"/>
      <x:c r="E21" s="11"/>
      <x:c r="F21" s="11"/>
      <x:c r="G21"/>
      <x:c r="H21"/>
      <x:c r="I21"/>
    </x:row>
    <x:row r="22">
      <x:c r="A22" s="8" t="str"/>
      <x:c r="B22" s="6" t="str"/>
      <x:c r="C22" s="9" t="str">
        <x:f>IF(D22="","",IFERROR(VLOOKUP(D22,'ERP account codes'!$A$5:$C$273,3,FALSE),"CHECK CODE"))</x:f>
      </x:c>
      <x:c r="D22" s="8" t="str"/>
      <x:c r="E22" s="11"/>
      <x:c r="F22" s="11"/>
      <x:c r="G22"/>
      <x:c r="H22"/>
      <x:c r="I22"/>
    </x:row>
    <x:row r="23">
      <x:c r="A23" s="8" t="str"/>
      <x:c r="B23" s="6" t="str"/>
      <x:c r="C23" s="9" t="str">
        <x:f>IF(D23="","",IFERROR(VLOOKUP(D23,'ERP account codes'!$A$5:$C$273,3,FALSE),"CHECK CODE"))</x:f>
      </x:c>
      <x:c r="D23" s="8" t="str"/>
      <x:c r="E23" s="11"/>
      <x:c r="F23" s="11"/>
      <x:c r="G23"/>
      <x:c r="H23"/>
      <x:c r="I23"/>
    </x:row>
    <x:row r="24">
      <x:c r="A24" s="8" t="str"/>
      <x:c r="B24" s="6" t="str"/>
      <x:c r="C24" s="9" t="str">
        <x:f>IF(D24="","",IFERROR(VLOOKUP(D24,'ERP account codes'!$A$5:$C$273,3,FALSE),"CHECK CODE"))</x:f>
      </x:c>
      <x:c r="D24" s="8" t="str"/>
      <x:c r="E24" s="11"/>
      <x:c r="F24" s="11"/>
      <x:c r="G24"/>
      <x:c r="H24"/>
      <x:c r="I24"/>
    </x:row>
    <x:row r="25">
      <x:c r="A25" s="8" t="str"/>
      <x:c r="B25" s="6" t="str"/>
      <x:c r="C25" s="9" t="str">
        <x:f>IF(D25="","",IFERROR(VLOOKUP(D25,'ERP account codes'!$A$5:$C$273,3,FALSE),"CHECK CODE"))</x:f>
      </x:c>
      <x:c r="D25" s="8" t="str"/>
      <x:c r="E25" s="11"/>
      <x:c r="F25" s="11"/>
      <x:c r="G25"/>
      <x:c r="H25"/>
      <x:c r="I25"/>
    </x:row>
    <x:row r="26">
      <x:c r="A26" s="8" t="str"/>
      <x:c r="B26" s="6" t="str"/>
      <x:c r="C26" s="9" t="str">
        <x:f>IF(D26="","",IFERROR(VLOOKUP(D26,'ERP account codes'!$A$5:$C$273,3,FALSE),"CHECK CODE"))</x:f>
      </x:c>
      <x:c r="D26" s="8" t="str"/>
      <x:c r="E26" s="11"/>
      <x:c r="F26" s="11"/>
      <x:c r="G26"/>
      <x:c r="H26"/>
      <x:c r="I26"/>
    </x:row>
    <x:row r="27">
      <x:c r="A27" s="8" t="str"/>
      <x:c r="B27" s="6" t="str"/>
      <x:c r="C27" s="9" t="str">
        <x:f>IF(D27="","",IFERROR(VLOOKUP(D27,'ERP account codes'!$A$5:$C$273,3,FALSE),"CHECK CODE"))</x:f>
      </x:c>
      <x:c r="D27" s="8" t="str"/>
      <x:c r="E27" s="11"/>
      <x:c r="F27" s="11"/>
      <x:c r="G27"/>
      <x:c r="H27"/>
      <x:c r="I27"/>
    </x:row>
    <x:row r="28">
      <x:c r="A28" s="8" t="str"/>
      <x:c r="B28" s="6" t="str"/>
      <x:c r="C28" s="9" t="str">
        <x:f>IF(D28="","",IFERROR(VLOOKUP(D28,'ERP account codes'!$A$5:$C$273,3,FALSE),"CHECK CODE"))</x:f>
      </x:c>
      <x:c r="D28" s="8" t="str"/>
      <x:c r="E28" s="11"/>
      <x:c r="F28" s="11"/>
      <x:c r="G28"/>
      <x:c r="H28"/>
      <x:c r="I28"/>
    </x:row>
    <x:row r="29">
      <x:c r="A29" s="8" t="str"/>
      <x:c r="B29" s="6" t="str"/>
      <x:c r="C29" s="9" t="str">
        <x:f>IF(D29="","",IFERROR(VLOOKUP(D29,'ERP account codes'!$A$5:$C$273,3,FALSE),"CHECK CODE"))</x:f>
      </x:c>
      <x:c r="D29" s="8" t="str"/>
      <x:c r="E29" s="11"/>
      <x:c r="F29" s="11"/>
      <x:c r="G29"/>
      <x:c r="H29"/>
      <x:c r="I29"/>
    </x:row>
    <x:row r="30">
      <x:c r="A30" s="8" t="str"/>
      <x:c r="B30" s="6" t="str"/>
      <x:c r="C30" s="9" t="str">
        <x:f>IF(D30="","",IFERROR(VLOOKUP(D30,'ERP account codes'!$A$5:$C$273,3,FALSE),"CHECK CODE"))</x:f>
      </x:c>
      <x:c r="D30" s="8" t="str"/>
      <x:c r="E30" s="11"/>
      <x:c r="F30" s="11"/>
      <x:c r="G30"/>
      <x:c r="H30"/>
      <x:c r="I30"/>
    </x:row>
    <x:row r="31">
      <x:c r="A31" s="8" t="str"/>
      <x:c r="B31" s="6" t="str"/>
      <x:c r="C31" s="9" t="str">
        <x:f>IF(D31="","",IFERROR(VLOOKUP(D31,'ERP account codes'!$A$5:$C$273,3,FALSE),"CHECK CODE"))</x:f>
      </x:c>
      <x:c r="D31" s="8" t="str"/>
      <x:c r="E31" s="11"/>
      <x:c r="F31" s="11"/>
      <x:c r="G31"/>
      <x:c r="H31"/>
      <x:c r="I31"/>
    </x:row>
    <x:row r="32">
      <x:c r="A32" s="8" t="str"/>
      <x:c r="B32" s="6" t="str"/>
      <x:c r="C32" s="9" t="str">
        <x:f>IF(D32="","",IFERROR(VLOOKUP(D32,'ERP account codes'!$A$5:$C$273,3,FALSE),"CHECK CODE"))</x:f>
      </x:c>
      <x:c r="D32" s="8" t="str"/>
      <x:c r="E32" s="11"/>
      <x:c r="F32" s="11"/>
      <x:c r="G32"/>
      <x:c r="H32"/>
      <x:c r="I32"/>
    </x:row>
    <x:row r="33">
      <x:c r="A33" s="8" t="str"/>
      <x:c r="B33" s="6" t="str"/>
      <x:c r="C33" s="9" t="str">
        <x:f>IF(D33="","",IFERROR(VLOOKUP(D33,'ERP account codes'!$A$5:$C$273,3,FALSE),"CHECK CODE"))</x:f>
      </x:c>
      <x:c r="D33" s="8" t="str"/>
      <x:c r="E33" s="11"/>
      <x:c r="F33" s="11"/>
      <x:c r="G33"/>
      <x:c r="H33"/>
      <x:c r="I33"/>
    </x:row>
    <x:row r="34">
      <x:c r="A34" s="8" t="str"/>
      <x:c r="B34" s="6" t="str"/>
      <x:c r="C34" s="9" t="str">
        <x:f>IF(D34="","",IFERROR(VLOOKUP(D34,'ERP account codes'!$A$5:$C$273,3,FALSE),"CHECK CODE"))</x:f>
      </x:c>
      <x:c r="D34" s="8" t="str"/>
      <x:c r="E34" s="11"/>
      <x:c r="F34" s="11"/>
      <x:c r="G34"/>
      <x:c r="H34"/>
      <x:c r="I34"/>
    </x:row>
    <x:row r="35">
      <x:c r="A35" s="8" t="str"/>
      <x:c r="B35" s="6" t="str"/>
      <x:c r="C35" s="9" t="str">
        <x:f>IF(D35="","",IFERROR(VLOOKUP(D35,'ERP account codes'!$A$5:$C$273,3,FALSE),"CHECK CODE"))</x:f>
      </x:c>
      <x:c r="D35" s="8" t="str"/>
      <x:c r="E35" s="11"/>
      <x:c r="F35" s="11"/>
      <x:c r="G35"/>
      <x:c r="H35"/>
      <x:c r="I35"/>
    </x:row>
    <x:row r="36">
      <x:c r="A36" s="8" t="str"/>
      <x:c r="B36" s="6" t="str"/>
      <x:c r="C36" s="9" t="str">
        <x:f>IF(D36="","",IFERROR(VLOOKUP(D36,'ERP account codes'!$A$5:$C$273,3,FALSE),"CHECK CODE"))</x:f>
      </x:c>
      <x:c r="D36" s="8" t="str"/>
      <x:c r="E36" s="11"/>
      <x:c r="F36" s="11"/>
      <x:c r="G36"/>
      <x:c r="H36"/>
      <x:c r="I36"/>
    </x:row>
    <x:row r="37">
      <x:c r="A37" s="8" t="str"/>
      <x:c r="B37" s="6" t="str"/>
      <x:c r="C37" s="9" t="str">
        <x:f>IF(D37="","",IFERROR(VLOOKUP(D37,'ERP account codes'!$A$5:$C$273,3,FALSE),"CHECK CODE"))</x:f>
      </x:c>
      <x:c r="D37" s="8" t="str"/>
      <x:c r="E37" s="11"/>
      <x:c r="F37" s="11"/>
      <x:c r="G37"/>
      <x:c r="H37"/>
      <x:c r="I37"/>
    </x:row>
    <x:row r="38">
      <x:c r="A38" s="8" t="str"/>
      <x:c r="B38" s="6" t="str"/>
      <x:c r="C38" s="9" t="str">
        <x:f>IF(D38="","",IFERROR(VLOOKUP(D38,'ERP account codes'!$A$5:$C$273,3,FALSE),"CHECK CODE"))</x:f>
      </x:c>
      <x:c r="D38" s="8" t="str"/>
      <x:c r="E38" s="11"/>
      <x:c r="F38" s="11"/>
      <x:c r="G38"/>
      <x:c r="H38"/>
      <x:c r="I38"/>
    </x:row>
    <x:row r="39">
      <x:c r="A39" s="8" t="str"/>
      <x:c r="B39" s="6" t="str"/>
      <x:c r="C39" s="9" t="str">
        <x:f>IF(D39="","",IFERROR(VLOOKUP(D39,'ERP account codes'!$A$5:$C$273,3,FALSE),"CHECK CODE"))</x:f>
      </x:c>
      <x:c r="D39" s="8" t="str"/>
      <x:c r="E39" s="11"/>
      <x:c r="F39" s="11"/>
      <x:c r="G39"/>
      <x:c r="H39"/>
      <x:c r="I39"/>
    </x:row>
    <x:row r="40">
      <x:c r="A40" s="8" t="str"/>
      <x:c r="B40" s="6" t="str"/>
      <x:c r="C40" s="9" t="str">
        <x:f>IF(D40="","",IFERROR(VLOOKUP(D40,'ERP account codes'!$A$5:$C$273,3,FALSE),"CHECK CODE"))</x:f>
      </x:c>
      <x:c r="D40" s="8" t="str"/>
      <x:c r="E40" s="11"/>
      <x:c r="F40" s="11"/>
      <x:c r="G40"/>
      <x:c r="H40"/>
      <x:c r="I40"/>
    </x:row>
    <x:row r="41">
      <x:c r="A41" s="8" t="str"/>
      <x:c r="B41" s="6" t="str"/>
      <x:c r="C41" s="9" t="str">
        <x:f>IF(D41="","",IFERROR(VLOOKUP(D41,'ERP account codes'!$A$5:$C$273,3,FALSE),"CHECK CODE"))</x:f>
      </x:c>
      <x:c r="D41" s="8" t="str"/>
      <x:c r="E41" s="11"/>
      <x:c r="F41" s="11"/>
      <x:c r="G41"/>
      <x:c r="H41"/>
      <x:c r="I41"/>
    </x:row>
    <x:row r="42">
      <x:c r="A42" s="8" t="str"/>
      <x:c r="B42" s="6" t="str"/>
      <x:c r="C42" s="9" t="str">
        <x:f>IF(D42="","",IFERROR(VLOOKUP(D42,'ERP account codes'!$A$5:$C$273,3,FALSE),"CHECK CODE"))</x:f>
      </x:c>
      <x:c r="D42" s="8" t="str"/>
      <x:c r="E42" s="11"/>
      <x:c r="F42" s="11"/>
      <x:c r="G42"/>
      <x:c r="H42"/>
      <x:c r="I42"/>
    </x:row>
    <x:row r="43">
      <x:c r="A43" s="8" t="str"/>
      <x:c r="B43" s="6" t="str"/>
      <x:c r="C43" s="9" t="str">
        <x:f>IF(D43="","",IFERROR(VLOOKUP(D43,'ERP account codes'!$A$5:$C$273,3,FALSE),"CHECK CODE"))</x:f>
      </x:c>
      <x:c r="D43" s="8" t="str"/>
      <x:c r="E43" s="11"/>
      <x:c r="F43" s="11"/>
      <x:c r="G43"/>
      <x:c r="H43"/>
      <x:c r="I43"/>
    </x:row>
    <x:row r="44">
      <x:c r="A44" s="8" t="str"/>
      <x:c r="B44" s="6" t="str"/>
      <x:c r="C44" s="9" t="str">
        <x:f>IF(D44="","",IFERROR(VLOOKUP(D44,'ERP account codes'!$A$5:$C$273,3,FALSE),"CHECK CODE"))</x:f>
      </x:c>
      <x:c r="D44" s="8" t="str"/>
      <x:c r="E44" s="11"/>
      <x:c r="F44" s="11"/>
      <x:c r="G44"/>
      <x:c r="H44"/>
      <x:c r="I44"/>
    </x:row>
    <x:row r="45">
      <x:c r="A45" s="8" t="str"/>
      <x:c r="B45" s="6" t="str"/>
      <x:c r="C45" s="9" t="str">
        <x:f>IF(D45="","",IFERROR(VLOOKUP(D45,'ERP account codes'!$A$5:$C$273,3,FALSE),"CHECK CODE"))</x:f>
      </x:c>
      <x:c r="D45" s="8" t="str"/>
      <x:c r="E45" s="11"/>
      <x:c r="F45" s="11"/>
      <x:c r="G45"/>
      <x:c r="H45"/>
      <x:c r="I45"/>
    </x:row>
    <x:row r="46">
      <x:c r="A46" s="8" t="str"/>
      <x:c r="B46" s="6" t="str"/>
      <x:c r="C46" s="9" t="str">
        <x:f>IF(D46="","",IFERROR(VLOOKUP(D46,'ERP account codes'!$A$5:$C$273,3,FALSE),"CHECK CODE"))</x:f>
      </x:c>
      <x:c r="D46" s="8" t="str"/>
      <x:c r="E46" s="11"/>
      <x:c r="F46" s="11"/>
      <x:c r="G46"/>
      <x:c r="H46"/>
      <x:c r="I46"/>
    </x:row>
    <x:row r="47">
      <x:c r="A47" s="8" t="str"/>
      <x:c r="B47" s="6" t="str"/>
      <x:c r="C47" s="9" t="str">
        <x:f>IF(D47="","",IFERROR(VLOOKUP(D47,'ERP account codes'!$A$5:$C$273,3,FALSE),"CHECK CODE"))</x:f>
      </x:c>
      <x:c r="D47" s="8" t="str"/>
      <x:c r="E47" s="11"/>
      <x:c r="F47" s="11"/>
      <x:c r="G47"/>
      <x:c r="H47"/>
      <x:c r="I47"/>
    </x:row>
    <x:row r="48">
      <x:c r="A48" s="8" t="str"/>
      <x:c r="B48" s="6" t="str"/>
      <x:c r="C48" s="9" t="str">
        <x:f>IF(D48="","",IFERROR(VLOOKUP(D48,'ERP account codes'!$A$5:$C$273,3,FALSE),"CHECK CODE"))</x:f>
      </x:c>
      <x:c r="D48" s="8" t="str"/>
      <x:c r="E48" s="11"/>
      <x:c r="F48" s="11"/>
      <x:c r="G48"/>
      <x:c r="H48"/>
      <x:c r="I48"/>
    </x:row>
    <x:row r="49">
      <x:c r="A49" s="8" t="str"/>
      <x:c r="B49" s="6" t="str"/>
      <x:c r="C49" s="9" t="str">
        <x:f>IF(D49="","",IFERROR(VLOOKUP(D49,'ERP account codes'!$A$5:$C$273,3,FALSE),"CHECK CODE"))</x:f>
      </x:c>
      <x:c r="D49" s="8" t="str"/>
      <x:c r="E49" s="11"/>
      <x:c r="F49" s="11"/>
      <x:c r="G49"/>
      <x:c r="H49"/>
      <x:c r="I49"/>
    </x:row>
    <x:row r="50">
      <x:c r="A50" s="8" t="str"/>
      <x:c r="B50" s="6" t="str"/>
      <x:c r="C50" s="9" t="str">
        <x:f>IF(D50="","",IFERROR(VLOOKUP(D50,'ERP account codes'!$A$5:$C$273,3,FALSE),"CHECK CODE"))</x:f>
      </x:c>
      <x:c r="D50" s="8" t="str"/>
      <x:c r="E50" s="11"/>
      <x:c r="F50" s="11"/>
      <x:c r="G50"/>
      <x:c r="H50"/>
      <x:c r="I50"/>
    </x:row>
    <x:row r="51">
      <x:c r="A51" s="8" t="str"/>
      <x:c r="B51" s="6" t="str"/>
      <x:c r="C51" s="9" t="str">
        <x:f>IF(D51="","",IFERROR(VLOOKUP(D51,'ERP account codes'!$A$5:$C$273,3,FALSE),"CHECK CODE"))</x:f>
      </x:c>
      <x:c r="D51" s="8" t="str"/>
      <x:c r="E51" s="11"/>
      <x:c r="F51" s="11"/>
      <x:c r="G51"/>
      <x:c r="H51"/>
      <x:c r="I51"/>
    </x:row>
    <x:row r="52">
      <x:c r="A52" s="8" t="str"/>
      <x:c r="B52" s="6" t="str"/>
      <x:c r="C52" s="9" t="str">
        <x:f>IF(D52="","",IFERROR(VLOOKUP(D52,'ERP account codes'!$A$5:$C$273,3,FALSE),"CHECK CODE"))</x:f>
      </x:c>
      <x:c r="D52" s="8" t="str"/>
      <x:c r="E52" s="11"/>
      <x:c r="F52" s="11"/>
      <x:c r="G52"/>
      <x:c r="H52"/>
      <x:c r="I52"/>
    </x:row>
    <x:row r="53">
      <x:c r="A53" s="8" t="str"/>
      <x:c r="B53" s="6" t="str"/>
      <x:c r="C53" s="9" t="str">
        <x:f>IF(D53="","",IFERROR(VLOOKUP(D53,'ERP account codes'!$A$5:$C$273,3,FALSE),"CHECK CODE"))</x:f>
      </x:c>
      <x:c r="D53" s="8" t="str"/>
      <x:c r="E53" s="11"/>
      <x:c r="F53" s="11"/>
      <x:c r="G53"/>
      <x:c r="H53"/>
      <x:c r="I53"/>
    </x:row>
    <x:row r="54">
      <x:c r="A54" s="8" t="str"/>
      <x:c r="B54" s="6" t="str"/>
      <x:c r="C54" s="9" t="str">
        <x:f>IF(D54="","",IFERROR(VLOOKUP(D54,'ERP account codes'!$A$5:$C$273,3,FALSE),"CHECK CODE"))</x:f>
      </x:c>
      <x:c r="D54" s="8" t="str"/>
      <x:c r="E54" s="11"/>
      <x:c r="F54" s="11"/>
      <x:c r="G54"/>
      <x:c r="H54"/>
      <x:c r="I54"/>
    </x:row>
    <x:row r="55">
      <x:c r="A55" s="8" t="str"/>
      <x:c r="B55" s="6" t="str"/>
      <x:c r="C55" s="9" t="str">
        <x:f>IF(D55="","",IFERROR(VLOOKUP(D55,'ERP account codes'!$A$5:$C$273,3,FALSE),"CHECK CODE"))</x:f>
      </x:c>
      <x:c r="D55" s="8" t="str"/>
      <x:c r="E55" s="11"/>
      <x:c r="F55" s="11"/>
      <x:c r="G55"/>
      <x:c r="H55"/>
      <x:c r="I55"/>
    </x:row>
    <x:row r="56">
      <x:c r="A56" s="8" t="str"/>
      <x:c r="B56" s="6" t="str"/>
      <x:c r="C56" s="9" t="str">
        <x:f>IF(D56="","",IFERROR(VLOOKUP(D56,'ERP account codes'!$A$5:$C$273,3,FALSE),"CHECK CODE"))</x:f>
      </x:c>
      <x:c r="D56" s="8" t="str"/>
      <x:c r="E56" s="11"/>
      <x:c r="F56" s="11"/>
      <x:c r="G56"/>
      <x:c r="H56"/>
      <x:c r="I56"/>
    </x:row>
    <x:row r="57">
      <x:c r="A57" s="8" t="str"/>
      <x:c r="B57" s="6" t="str"/>
      <x:c r="C57" s="9" t="str">
        <x:f>IF(D57="","",IFERROR(VLOOKUP(D57,'ERP account codes'!$A$5:$C$273,3,FALSE),"CHECK CODE"))</x:f>
      </x:c>
      <x:c r="D57" s="8" t="str"/>
      <x:c r="E57" s="11"/>
      <x:c r="F57" s="11"/>
      <x:c r="G57"/>
      <x:c r="H57"/>
      <x:c r="I57"/>
    </x:row>
    <x:row r="58">
      <x:c r="A58" s="8" t="str"/>
      <x:c r="B58" s="6" t="str"/>
      <x:c r="C58" s="9" t="str">
        <x:f>IF(D58="","",IFERROR(VLOOKUP(D58,'ERP account codes'!$A$5:$C$273,3,FALSE),"CHECK CODE"))</x:f>
      </x:c>
      <x:c r="D58" s="8" t="str"/>
      <x:c r="E58" s="11"/>
      <x:c r="F58" s="11"/>
      <x:c r="G58"/>
      <x:c r="H58"/>
      <x:c r="I58"/>
    </x:row>
    <x:row r="59">
      <x:c r="A59" s="8" t="str"/>
      <x:c r="B59" s="6" t="str"/>
      <x:c r="C59" s="9" t="str">
        <x:f>IF(D59="","",IFERROR(VLOOKUP(D59,'ERP account codes'!$A$5:$C$273,3,FALSE),"CHECK CODE"))</x:f>
      </x:c>
      <x:c r="D59" s="8" t="str"/>
      <x:c r="E59" s="11"/>
      <x:c r="F59" s="11"/>
      <x:c r="G59"/>
      <x:c r="H59"/>
      <x:c r="I59"/>
    </x:row>
    <x:row r="60">
      <x:c r="A60" s="8" t="str"/>
      <x:c r="B60" s="6" t="str"/>
      <x:c r="C60" s="9" t="str">
        <x:f>IF(D60="","",IFERROR(VLOOKUP(D60,'ERP account codes'!$A$5:$C$273,3,FALSE),"CHECK CODE"))</x:f>
      </x:c>
      <x:c r="D60" s="8" t="str"/>
      <x:c r="E60" s="11"/>
      <x:c r="F60" s="11"/>
      <x:c r="G60"/>
      <x:c r="H60"/>
      <x:c r="I60"/>
    </x:row>
    <x:row r="61">
      <x:c r="A61" s="8" t="str"/>
      <x:c r="B61" s="6" t="str"/>
      <x:c r="C61" s="9" t="str">
        <x:f>IF(D61="","",IFERROR(VLOOKUP(D61,'ERP account codes'!$A$5:$C$273,3,FALSE),"CHECK CODE"))</x:f>
      </x:c>
      <x:c r="D61" s="8" t="str"/>
      <x:c r="E61" s="11"/>
      <x:c r="F61" s="11"/>
      <x:c r="G61"/>
      <x:c r="H61"/>
      <x:c r="I61"/>
    </x:row>
    <x:row r="62">
      <x:c r="A62" s="8" t="str"/>
      <x:c r="B62" s="6" t="str"/>
      <x:c r="C62" s="9" t="str">
        <x:f>IF(D62="","",IFERROR(VLOOKUP(D62,'ERP account codes'!$A$5:$C$273,3,FALSE),"CHECK CODE"))</x:f>
      </x:c>
      <x:c r="D62" s="8" t="str"/>
      <x:c r="E62" s="11"/>
      <x:c r="F62" s="11"/>
      <x:c r="G62"/>
      <x:c r="H62"/>
      <x:c r="I62"/>
    </x:row>
    <x:row r="63">
      <x:c r="A63" s="8" t="str"/>
      <x:c r="B63" s="6" t="str"/>
      <x:c r="C63" s="9" t="str">
        <x:f>IF(D63="","",IFERROR(VLOOKUP(D63,'ERP account codes'!$A$5:$C$273,3,FALSE),"CHECK CODE"))</x:f>
      </x:c>
      <x:c r="D63" s="8" t="str"/>
      <x:c r="E63" s="11"/>
      <x:c r="F63" s="11"/>
      <x:c r="G63"/>
      <x:c r="H63"/>
      <x:c r="I63"/>
    </x:row>
    <x:row r="64">
      <x:c r="A64" s="8" t="str"/>
      <x:c r="B64" s="6" t="str"/>
      <x:c r="C64" s="9" t="str">
        <x:f>IF(D64="","",IFERROR(VLOOKUP(D64,'ERP account codes'!$A$5:$C$273,3,FALSE),"CHECK CODE"))</x:f>
      </x:c>
      <x:c r="D64" s="8" t="str"/>
      <x:c r="E64" s="11"/>
      <x:c r="F64" s="11"/>
      <x:c r="G64"/>
      <x:c r="H64"/>
      <x:c r="I64"/>
    </x:row>
    <x:row r="65">
      <x:c r="A65" s="8" t="str"/>
      <x:c r="B65" s="6" t="str"/>
      <x:c r="C65" s="9" t="str">
        <x:f>IF(D65="","",IFERROR(VLOOKUP(D65,'ERP account codes'!$A$5:$C$273,3,FALSE),"CHECK CODE"))</x:f>
      </x:c>
      <x:c r="D65" s="8" t="str"/>
      <x:c r="E65" s="11"/>
      <x:c r="F65" s="11"/>
      <x:c r="G65"/>
      <x:c r="H65"/>
      <x:c r="I65"/>
    </x:row>
    <x:row r="66">
      <x:c r="A66" s="8" t="str"/>
      <x:c r="B66" s="6" t="str"/>
      <x:c r="C66" s="9" t="str">
        <x:f>IF(D66="","",IFERROR(VLOOKUP(D66,'ERP account codes'!$A$5:$C$273,3,FALSE),"CHECK CODE"))</x:f>
      </x:c>
      <x:c r="D66" s="8" t="str"/>
      <x:c r="E66" s="11"/>
      <x:c r="F66" s="11"/>
      <x:c r="G66"/>
      <x:c r="H66"/>
      <x:c r="I66"/>
    </x:row>
    <x:row r="67">
      <x:c r="A67" s="8" t="str"/>
      <x:c r="B67" s="6" t="str"/>
      <x:c r="C67" s="9" t="str">
        <x:f>IF(D67="","",IFERROR(VLOOKUP(D67,'ERP account codes'!$A$5:$C$273,3,FALSE),"CHECK CODE"))</x:f>
      </x:c>
      <x:c r="D67" s="8" t="str"/>
      <x:c r="E67" s="11"/>
      <x:c r="F67" s="11"/>
      <x:c r="G67"/>
      <x:c r="H67"/>
      <x:c r="I67"/>
    </x:row>
    <x:row r="68">
      <x:c r="A68" s="8" t="str"/>
      <x:c r="B68" s="6" t="str"/>
      <x:c r="C68" s="9" t="str">
        <x:f>IF(D68="","",IFERROR(VLOOKUP(D68,'ERP account codes'!$A$5:$C$273,3,FALSE),"CHECK CODE"))</x:f>
      </x:c>
      <x:c r="D68" s="8" t="str"/>
      <x:c r="E68" s="11"/>
      <x:c r="F68" s="11"/>
      <x:c r="G68"/>
      <x:c r="H68"/>
      <x:c r="I68"/>
    </x:row>
    <x:row r="69">
      <x:c r="A69" s="8" t="str"/>
      <x:c r="B69" s="6" t="str"/>
      <x:c r="C69" s="9" t="str">
        <x:f>IF(D69="","",IFERROR(VLOOKUP(D69,'ERP account codes'!$A$5:$C$273,3,FALSE),"CHECK CODE"))</x:f>
      </x:c>
      <x:c r="D69" s="8" t="str"/>
      <x:c r="E69" s="11"/>
      <x:c r="F69" s="11"/>
      <x:c r="G69"/>
      <x:c r="H69"/>
      <x:c r="I69"/>
    </x:row>
    <x:row r="70">
      <x:c r="A70" s="8" t="str"/>
      <x:c r="B70" s="6" t="str"/>
      <x:c r="C70" s="9" t="str">
        <x:f>IF(D70="","",IFERROR(VLOOKUP(D70,'ERP account codes'!$A$5:$C$273,3,FALSE),"CHECK CODE"))</x:f>
      </x:c>
      <x:c r="D70" s="8" t="str"/>
      <x:c r="E70" s="11"/>
      <x:c r="F70" s="11"/>
      <x:c r="G70"/>
      <x:c r="H70"/>
      <x:c r="I70"/>
    </x:row>
    <x:row r="71">
      <x:c r="A71" s="8" t="str"/>
      <x:c r="B71" s="6" t="str"/>
      <x:c r="C71" s="9" t="str">
        <x:f>IF(D71="","",IFERROR(VLOOKUP(D71,'ERP account codes'!$A$5:$C$273,3,FALSE),"CHECK CODE"))</x:f>
      </x:c>
      <x:c r="D71" s="8" t="str"/>
      <x:c r="E71" s="11"/>
      <x:c r="F71" s="11"/>
      <x:c r="G71"/>
      <x:c r="H71"/>
      <x:c r="I71"/>
    </x:row>
    <x:row r="72">
      <x:c r="A72" s="8" t="str"/>
      <x:c r="B72" s="6" t="str"/>
      <x:c r="C72" s="9" t="str">
        <x:f>IF(D72="","",IFERROR(VLOOKUP(D72,'ERP account codes'!$A$5:$C$273,3,FALSE),"CHECK CODE"))</x:f>
      </x:c>
      <x:c r="D72" s="8" t="str"/>
      <x:c r="E72" s="11"/>
      <x:c r="F72" s="11"/>
      <x:c r="G72"/>
      <x:c r="H72"/>
      <x:c r="I72"/>
    </x:row>
    <x:row r="73">
      <x:c r="A73" s="8" t="str"/>
      <x:c r="B73" s="6" t="str"/>
      <x:c r="C73" s="9" t="str">
        <x:f>IF(D73="","",IFERROR(VLOOKUP(D73,'ERP account codes'!$A$5:$C$273,3,FALSE),"CHECK CODE"))</x:f>
      </x:c>
      <x:c r="D73" s="8" t="str"/>
      <x:c r="E73" s="11"/>
      <x:c r="F73" s="11"/>
      <x:c r="G73"/>
      <x:c r="H73"/>
      <x:c r="I73"/>
    </x:row>
    <x:row r="74">
      <x:c r="A74" s="8" t="str"/>
      <x:c r="B74" s="6" t="str"/>
      <x:c r="C74" s="9" t="str">
        <x:f>IF(D74="","",IFERROR(VLOOKUP(D74,'ERP account codes'!$A$5:$C$273,3,FALSE),"CHECK CODE"))</x:f>
      </x:c>
      <x:c r="D74" s="8" t="str"/>
      <x:c r="E74" s="11"/>
      <x:c r="F74" s="11"/>
      <x:c r="G74"/>
      <x:c r="H74"/>
      <x:c r="I74"/>
    </x:row>
    <x:row r="75">
      <x:c r="A75" s="8" t="str"/>
      <x:c r="B75" s="6" t="str"/>
      <x:c r="C75" s="9" t="str">
        <x:f>IF(D75="","",IFERROR(VLOOKUP(D75,'ERP account codes'!$A$5:$C$273,3,FALSE),"CHECK CODE"))</x:f>
      </x:c>
      <x:c r="D75" s="8" t="str"/>
      <x:c r="E75" s="11"/>
      <x:c r="F75" s="11"/>
      <x:c r="G75"/>
      <x:c r="H75"/>
      <x:c r="I75"/>
    </x:row>
    <x:row r="76">
      <x:c r="A76" s="8" t="str"/>
      <x:c r="B76" s="6" t="str"/>
      <x:c r="C76" s="9" t="str">
        <x:f>IF(D76="","",IFERROR(VLOOKUP(D76,'ERP account codes'!$A$5:$C$273,3,FALSE),"CHECK CODE"))</x:f>
      </x:c>
      <x:c r="D76" s="8" t="str"/>
      <x:c r="E76" s="11"/>
      <x:c r="F76" s="11"/>
      <x:c r="G76"/>
      <x:c r="H76"/>
      <x:c r="I76"/>
    </x:row>
    <x:row r="77">
      <x:c r="A77" s="8" t="str"/>
      <x:c r="B77" s="6" t="str"/>
      <x:c r="C77" s="9" t="str">
        <x:f>IF(D77="","",IFERROR(VLOOKUP(D77,'ERP account codes'!$A$5:$C$273,3,FALSE),"CHECK CODE"))</x:f>
      </x:c>
      <x:c r="D77" s="8" t="str"/>
      <x:c r="E77" s="11"/>
      <x:c r="F77" s="11"/>
      <x:c r="G77"/>
      <x:c r="H77"/>
      <x:c r="I77"/>
    </x:row>
    <x:row r="78">
      <x:c r="A78" s="8" t="str"/>
      <x:c r="B78" s="6" t="str"/>
      <x:c r="C78" s="9" t="str">
        <x:f>IF(D78="","",IFERROR(VLOOKUP(D78,'ERP account codes'!$A$5:$C$273,3,FALSE),"CHECK CODE"))</x:f>
      </x:c>
      <x:c r="D78" s="8" t="str"/>
      <x:c r="E78" s="11"/>
      <x:c r="F78" s="11"/>
      <x:c r="G78"/>
      <x:c r="H78"/>
      <x:c r="I78"/>
    </x:row>
    <x:row r="79">
      <x:c r="A79" s="8" t="str"/>
      <x:c r="B79" s="6" t="str"/>
      <x:c r="C79" s="9" t="str">
        <x:f>IF(D79="","",IFERROR(VLOOKUP(D79,'ERP account codes'!$A$5:$C$273,3,FALSE),"CHECK CODE"))</x:f>
      </x:c>
      <x:c r="D79" s="8" t="str"/>
      <x:c r="E79" s="11"/>
      <x:c r="F79" s="11"/>
      <x:c r="G79"/>
      <x:c r="H79"/>
      <x:c r="I79"/>
    </x:row>
    <x:row r="80">
      <x:c r="A80" s="8" t="str"/>
      <x:c r="B80" s="6" t="str"/>
      <x:c r="C80" s="9" t="str">
        <x:f>IF(D80="","",IFERROR(VLOOKUP(D80,'ERP account codes'!$A$5:$C$273,3,FALSE),"CHECK CODE"))</x:f>
      </x:c>
      <x:c r="D80" s="8" t="str"/>
      <x:c r="E80" s="11"/>
      <x:c r="F80" s="11"/>
      <x:c r="G80"/>
      <x:c r="H80"/>
      <x:c r="I80"/>
    </x:row>
    <x:row r="81">
      <x:c r="A81" s="8" t="str"/>
      <x:c r="B81" s="6" t="str"/>
      <x:c r="C81" s="9" t="str">
        <x:f>IF(D81="","",IFERROR(VLOOKUP(D81,'ERP account codes'!$A$5:$C$273,3,FALSE),"CHECK CODE"))</x:f>
      </x:c>
      <x:c r="D81" s="8" t="str"/>
      <x:c r="E81" s="11"/>
      <x:c r="F81" s="11"/>
      <x:c r="G81"/>
      <x:c r="H81"/>
      <x:c r="I81"/>
    </x:row>
    <x:row r="82">
      <x:c r="A82" s="8" t="str"/>
      <x:c r="B82" s="6" t="str"/>
      <x:c r="C82" s="9" t="str">
        <x:f>IF(D82="","",IFERROR(VLOOKUP(D82,'ERP account codes'!$A$5:$C$273,3,FALSE),"CHECK CODE"))</x:f>
      </x:c>
      <x:c r="D82" s="8" t="str"/>
      <x:c r="E82" s="11"/>
      <x:c r="F82" s="11"/>
      <x:c r="G82"/>
      <x:c r="H82"/>
      <x:c r="I82"/>
    </x:row>
    <x:row r="83">
      <x:c r="A83" s="8" t="str"/>
      <x:c r="B83" s="6" t="str"/>
      <x:c r="C83" s="9" t="str">
        <x:f>IF(D83="","",IFERROR(VLOOKUP(D83,'ERP account codes'!$A$5:$C$273,3,FALSE),"CHECK CODE"))</x:f>
      </x:c>
      <x:c r="D83" s="8" t="str"/>
      <x:c r="E83" s="11"/>
      <x:c r="F83" s="11"/>
      <x:c r="G83"/>
      <x:c r="H83"/>
      <x:c r="I83"/>
    </x:row>
    <x:row r="84">
      <x:c r="A84" s="8" t="str"/>
      <x:c r="B84" s="6" t="str"/>
      <x:c r="C84" s="9" t="str">
        <x:f>IF(D84="","",IFERROR(VLOOKUP(D84,'ERP account codes'!$A$5:$C$273,3,FALSE),"CHECK CODE"))</x:f>
      </x:c>
      <x:c r="D84" s="8" t="str"/>
      <x:c r="E84" s="11"/>
      <x:c r="F84" s="11"/>
      <x:c r="G84"/>
      <x:c r="H84"/>
      <x:c r="I84"/>
    </x:row>
    <x:row r="85">
      <x:c r="A85" s="8" t="str"/>
      <x:c r="B85" s="6" t="str"/>
      <x:c r="C85" s="9" t="str">
        <x:f>IF(D85="","",IFERROR(VLOOKUP(D85,'ERP account codes'!$A$5:$C$273,3,FALSE),"CHECK CODE"))</x:f>
      </x:c>
      <x:c r="D85" s="8" t="str"/>
      <x:c r="E85" s="11"/>
      <x:c r="F85" s="11"/>
      <x:c r="G85"/>
      <x:c r="H85"/>
      <x:c r="I85"/>
    </x:row>
    <x:row r="86">
      <x:c r="A86" s="8" t="str"/>
      <x:c r="B86" s="6" t="str"/>
      <x:c r="C86" s="9" t="str">
        <x:f>IF(D86="","",IFERROR(VLOOKUP(D86,'ERP account codes'!$A$5:$C$273,3,FALSE),"CHECK CODE"))</x:f>
      </x:c>
      <x:c r="D86" s="8" t="str"/>
      <x:c r="E86" s="11"/>
      <x:c r="F86" s="11"/>
      <x:c r="G86"/>
      <x:c r="H86"/>
      <x:c r="I86"/>
    </x:row>
    <x:row r="87">
      <x:c r="A87" s="8" t="str"/>
      <x:c r="B87" s="6" t="str"/>
      <x:c r="C87" s="9" t="str">
        <x:f>IF(D87="","",IFERROR(VLOOKUP(D87,'ERP account codes'!$A$5:$C$273,3,FALSE),"CHECK CODE"))</x:f>
      </x:c>
      <x:c r="D87" s="8" t="str"/>
      <x:c r="E87" s="11"/>
      <x:c r="F87" s="11"/>
      <x:c r="G87"/>
      <x:c r="H87"/>
      <x:c r="I87"/>
    </x:row>
    <x:row r="88">
      <x:c r="A88" s="8" t="str"/>
      <x:c r="B88" s="6" t="str"/>
      <x:c r="C88" s="9" t="str">
        <x:f>IF(D88="","",IFERROR(VLOOKUP(D88,'ERP account codes'!$A$5:$C$273,3,FALSE),"CHECK CODE"))</x:f>
      </x:c>
      <x:c r="D88" s="8" t="str"/>
      <x:c r="E88" s="11"/>
      <x:c r="F88" s="11"/>
      <x:c r="G88"/>
      <x:c r="H88"/>
      <x:c r="I88"/>
    </x:row>
    <x:row r="89">
      <x:c r="A89" s="8" t="str"/>
      <x:c r="B89" s="6" t="str"/>
      <x:c r="C89" s="9" t="str">
        <x:f>IF(D89="","",IFERROR(VLOOKUP(D89,'ERP account codes'!$A$5:$C$273,3,FALSE),"CHECK CODE"))</x:f>
      </x:c>
      <x:c r="D89" s="8" t="str"/>
      <x:c r="E89" s="11"/>
      <x:c r="F89" s="11"/>
      <x:c r="G89"/>
      <x:c r="H89"/>
      <x:c r="I89"/>
    </x:row>
    <x:row r="90">
      <x:c r="A90" s="8" t="str"/>
      <x:c r="B90" s="6" t="str"/>
      <x:c r="C90" s="9" t="str">
        <x:f>IF(D90="","",IFERROR(VLOOKUP(D90,'ERP account codes'!$A$5:$C$273,3,FALSE),"CHECK CODE"))</x:f>
      </x:c>
      <x:c r="D90" s="8" t="str"/>
      <x:c r="E90" s="11"/>
      <x:c r="F90" s="11"/>
      <x:c r="G90"/>
      <x:c r="H90"/>
      <x:c r="I90"/>
    </x:row>
    <x:row r="91">
      <x:c r="A91" s="8" t="str"/>
      <x:c r="B91" s="6" t="str"/>
      <x:c r="C91" s="9" t="str">
        <x:f>IF(D91="","",IFERROR(VLOOKUP(D91,'ERP account codes'!$A$5:$C$273,3,FALSE),"CHECK CODE"))</x:f>
      </x:c>
      <x:c r="D91" s="8" t="str"/>
      <x:c r="E91" s="11"/>
      <x:c r="F91" s="11"/>
      <x:c r="G91"/>
      <x:c r="H91"/>
      <x:c r="I91"/>
    </x:row>
    <x:row r="92">
      <x:c r="A92" s="8" t="str"/>
      <x:c r="B92" s="6" t="str"/>
      <x:c r="C92" s="9" t="str">
        <x:f>IF(D92="","",IFERROR(VLOOKUP(D92,'ERP account codes'!$A$5:$C$273,3,FALSE),"CHECK CODE"))</x:f>
      </x:c>
      <x:c r="D92" s="8" t="str"/>
      <x:c r="E92" s="11"/>
      <x:c r="F92" s="11"/>
      <x:c r="G92"/>
      <x:c r="H92"/>
      <x:c r="I92"/>
    </x:row>
    <x:row r="93">
      <x:c r="A93" s="8" t="str"/>
      <x:c r="B93" s="6" t="str"/>
      <x:c r="C93" s="9" t="str">
        <x:f>IF(D93="","",IFERROR(VLOOKUP(D93,'ERP account codes'!$A$5:$C$273,3,FALSE),"CHECK CODE"))</x:f>
      </x:c>
      <x:c r="D93" s="8" t="str"/>
      <x:c r="E93" s="11"/>
      <x:c r="F93" s="11"/>
      <x:c r="G93"/>
      <x:c r="H93"/>
      <x:c r="I93"/>
    </x:row>
    <x:row r="94">
      <x:c r="A94" s="8" t="str"/>
      <x:c r="B94" s="6" t="str"/>
      <x:c r="C94" s="9" t="str">
        <x:f>IF(D94="","",IFERROR(VLOOKUP(D94,'ERP account codes'!$A$5:$C$273,3,FALSE),"CHECK CODE"))</x:f>
      </x:c>
      <x:c r="D94" s="8" t="str"/>
      <x:c r="E94" s="11"/>
      <x:c r="F94" s="11"/>
      <x:c r="G94"/>
      <x:c r="H94"/>
      <x:c r="I94"/>
    </x:row>
    <x:row r="95">
      <x:c r="A95" s="8" t="str"/>
      <x:c r="B95" s="6" t="str"/>
      <x:c r="C95" s="9" t="str">
        <x:f>IF(D95="","",IFERROR(VLOOKUP(D95,'ERP account codes'!$A$5:$C$273,3,FALSE),"CHECK CODE"))</x:f>
      </x:c>
      <x:c r="D95" s="8" t="str"/>
      <x:c r="E95" s="11"/>
      <x:c r="F95" s="11"/>
      <x:c r="G95"/>
      <x:c r="H95"/>
      <x:c r="I95"/>
    </x:row>
    <x:row r="96">
      <x:c r="A96" s="8" t="str"/>
      <x:c r="B96" s="6" t="str"/>
      <x:c r="C96" s="9" t="str">
        <x:f>IF(D96="","",IFERROR(VLOOKUP(D96,'ERP account codes'!$A$5:$C$273,3,FALSE),"CHECK CODE"))</x:f>
      </x:c>
      <x:c r="D96" s="8" t="str"/>
      <x:c r="E96" s="11"/>
      <x:c r="F96" s="11"/>
      <x:c r="G96"/>
      <x:c r="H96"/>
      <x:c r="I96"/>
    </x:row>
    <x:row r="97">
      <x:c r="A97" s="8" t="str"/>
      <x:c r="B97" s="6" t="str"/>
      <x:c r="C97" s="9" t="str">
        <x:f>IF(D97="","",IFERROR(VLOOKUP(D97,'ERP account codes'!$A$5:$C$273,3,FALSE),"CHECK CODE"))</x:f>
      </x:c>
      <x:c r="D97" s="8" t="str"/>
      <x:c r="E97" s="11"/>
      <x:c r="F97" s="11"/>
      <x:c r="G97"/>
      <x:c r="H97"/>
      <x:c r="I97"/>
    </x:row>
    <x:row r="98">
      <x:c r="A98" s="8" t="str"/>
      <x:c r="B98" s="6" t="str"/>
      <x:c r="C98" s="9" t="str">
        <x:f>IF(D98="","",IFERROR(VLOOKUP(D98,'ERP account codes'!$A$5:$C$273,3,FALSE),"CHECK CODE"))</x:f>
      </x:c>
      <x:c r="D98" s="8" t="str"/>
      <x:c r="E98" s="11"/>
      <x:c r="F98" s="11"/>
      <x:c r="G98"/>
      <x:c r="H98"/>
      <x:c r="I98"/>
    </x:row>
    <x:row r="99">
      <x:c r="A99" s="8" t="str"/>
      <x:c r="B99" s="6" t="str"/>
      <x:c r="C99" s="9" t="str">
        <x:f>IF(D99="","",IFERROR(VLOOKUP(D99,'ERP account codes'!$A$5:$C$273,3,FALSE),"CHECK CODE"))</x:f>
      </x:c>
      <x:c r="D99" s="8" t="str"/>
      <x:c r="E99" s="11"/>
      <x:c r="F99" s="11"/>
      <x:c r="G99"/>
      <x:c r="H99"/>
      <x:c r="I99"/>
    </x:row>
    <x:row r="100">
      <x:c r="A100" s="8" t="str"/>
      <x:c r="B100" s="6" t="str"/>
      <x:c r="C100" s="9" t="str">
        <x:f>IF(D100="","",IFERROR(VLOOKUP(D100,'ERP account codes'!$A$5:$C$273,3,FALSE),"CHECK CODE"))</x:f>
      </x:c>
      <x:c r="D100" s="8" t="str"/>
      <x:c r="E100" s="11"/>
      <x:c r="F100" s="11"/>
      <x:c r="G100"/>
      <x:c r="H100"/>
      <x:c r="I100"/>
    </x:row>
    <x:row r="101">
      <x:c r="A101" s="8" t="str"/>
      <x:c r="B101" s="6" t="str"/>
      <x:c r="C101" s="9" t="str">
        <x:f>IF(D101="","",IFERROR(VLOOKUP(D101,'ERP account codes'!$A$5:$C$273,3,FALSE),"CHECK CODE"))</x:f>
      </x:c>
      <x:c r="D101" s="8" t="str"/>
      <x:c r="E101" s="11"/>
      <x:c r="F101" s="11"/>
      <x:c r="G101"/>
      <x:c r="H101"/>
      <x:c r="I101"/>
    </x:row>
    <x:row r="102">
      <x:c r="A102" s="8" t="str"/>
      <x:c r="B102" s="6" t="str"/>
      <x:c r="C102" s="9" t="str">
        <x:f>IF(D102="","",IFERROR(VLOOKUP(D102,'ERP account codes'!$A$5:$C$273,3,FALSE),"CHECK CODE"))</x:f>
      </x:c>
      <x:c r="D102" s="8" t="str"/>
      <x:c r="E102" s="11"/>
      <x:c r="F102" s="11"/>
      <x:c r="G102"/>
      <x:c r="H102"/>
      <x:c r="I102"/>
    </x:row>
    <x:row r="103">
      <x:c r="A103" s="8" t="str"/>
      <x:c r="B103" s="6" t="str"/>
      <x:c r="C103" s="9" t="str">
        <x:f>IF(D103="","",IFERROR(VLOOKUP(D103,'ERP account codes'!$A$5:$C$273,3,FALSE),"CHECK CODE"))</x:f>
      </x:c>
      <x:c r="D103" s="8" t="str"/>
      <x:c r="E103" s="11"/>
      <x:c r="F103" s="11"/>
      <x:c r="G103"/>
      <x:c r="H103"/>
      <x:c r="I103"/>
    </x:row>
    <x:row r="104">
      <x:c r="A104" s="8" t="str"/>
      <x:c r="B104" s="6" t="str"/>
      <x:c r="C104" s="9" t="str">
        <x:f>IF(D104="","",IFERROR(VLOOKUP(D104,'ERP account codes'!$A$5:$C$273,3,FALSE),"CHECK CODE"))</x:f>
      </x:c>
      <x:c r="D104" s="8" t="str"/>
      <x:c r="E104" s="11"/>
      <x:c r="F104" s="11"/>
      <x:c r="G104"/>
      <x:c r="H104"/>
      <x:c r="I104"/>
    </x:row>
    <x:row r="105">
      <x:c r="A105" s="8" t="str"/>
      <x:c r="B105" s="6" t="str"/>
      <x:c r="C105" s="9" t="str">
        <x:f>IF(D105="","",IFERROR(VLOOKUP(D105,'ERP account codes'!$A$5:$C$273,3,FALSE),"CHECK CODE"))</x:f>
      </x:c>
      <x:c r="D105" s="8" t="str"/>
      <x:c r="E105" s="11"/>
      <x:c r="F105" s="11"/>
      <x:c r="G105"/>
      <x:c r="H105"/>
      <x:c r="I105"/>
    </x:row>
    <x:row r="106">
      <x:c r="A106" s="8" t="str"/>
      <x:c r="B106" s="6" t="str"/>
      <x:c r="C106" s="9" t="str">
        <x:f>IF(D106="","",IFERROR(VLOOKUP(D106,'ERP account codes'!$A$5:$C$273,3,FALSE),"CHECK CODE"))</x:f>
      </x:c>
      <x:c r="D106" s="8" t="str"/>
      <x:c r="E106" s="11"/>
      <x:c r="F106" s="11"/>
      <x:c r="G106"/>
      <x:c r="H106"/>
      <x:c r="I106"/>
    </x:row>
    <x:row r="107">
      <x:c r="A107" s="8" t="str"/>
      <x:c r="B107" s="6" t="str"/>
      <x:c r="C107" s="9" t="str">
        <x:f>IF(D107="","",IFERROR(VLOOKUP(D107,'ERP account codes'!$A$5:$C$273,3,FALSE),"CHECK CODE"))</x:f>
      </x:c>
      <x:c r="D107" s="8" t="str"/>
      <x:c r="E107" s="11"/>
      <x:c r="F107" s="11"/>
      <x:c r="G107"/>
      <x:c r="H107"/>
      <x:c r="I107"/>
    </x:row>
    <x:row r="108">
      <x:c r="A108" s="8" t="str"/>
      <x:c r="B108" s="6" t="str"/>
      <x:c r="C108" s="9" t="str">
        <x:f>IF(D108="","",IFERROR(VLOOKUP(D108,'ERP account codes'!$A$5:$C$273,3,FALSE),"CHECK CODE"))</x:f>
      </x:c>
      <x:c r="D108" s="8" t="str"/>
      <x:c r="E108" s="11"/>
      <x:c r="F108" s="11"/>
      <x:c r="G108"/>
      <x:c r="H108"/>
      <x:c r="I108"/>
    </x:row>
    <x:row r="109">
      <x:c r="A109" s="8" t="str"/>
      <x:c r="B109" s="6" t="str"/>
      <x:c r="C109" s="9" t="str">
        <x:f>IF(D109="","",IFERROR(VLOOKUP(D109,'ERP account codes'!$A$5:$C$273,3,FALSE),"CHECK CODE"))</x:f>
      </x:c>
      <x:c r="D109" s="8" t="str"/>
      <x:c r="E109" s="11"/>
      <x:c r="F109" s="11"/>
      <x:c r="G109"/>
      <x:c r="H109"/>
      <x:c r="I109"/>
    </x:row>
    <x:row r="110">
      <x:c r="A110" s="8" t="str"/>
      <x:c r="B110" s="6" t="str"/>
      <x:c r="C110" s="9" t="str">
        <x:f>IF(D110="","",IFERROR(VLOOKUP(D110,'ERP account codes'!$A$5:$C$273,3,FALSE),"CHECK CODE"))</x:f>
      </x:c>
      <x:c r="D110" s="8" t="str"/>
      <x:c r="E110" s="11"/>
      <x:c r="F110" s="11"/>
      <x:c r="G110"/>
      <x:c r="H110"/>
      <x:c r="I110"/>
    </x:row>
    <x:row r="111">
      <x:c r="A111" s="8" t="str"/>
      <x:c r="B111" s="6" t="str"/>
      <x:c r="C111" s="9" t="str">
        <x:f>IF(D111="","",IFERROR(VLOOKUP(D111,'ERP account codes'!$A$5:$C$273,3,FALSE),"CHECK CODE"))</x:f>
      </x:c>
      <x:c r="D111" s="8" t="str"/>
      <x:c r="E111" s="11"/>
      <x:c r="F111" s="11"/>
      <x:c r="G111"/>
      <x:c r="H111"/>
      <x:c r="I111"/>
    </x:row>
    <x:row r="112">
      <x:c r="A112" s="8" t="str"/>
      <x:c r="B112" s="6" t="str"/>
      <x:c r="C112" s="9" t="str">
        <x:f>IF(D112="","",IFERROR(VLOOKUP(D112,'ERP account codes'!$A$5:$C$273,3,FALSE),"CHECK CODE"))</x:f>
      </x:c>
      <x:c r="D112" s="8" t="str"/>
      <x:c r="E112" s="11"/>
      <x:c r="F112" s="11"/>
      <x:c r="G112"/>
      <x:c r="H112"/>
      <x:c r="I112"/>
    </x:row>
    <x:row r="113">
      <x:c r="A113" s="8" t="str"/>
      <x:c r="B113" s="6" t="str"/>
      <x:c r="C113" s="9" t="str">
        <x:f>IF(D113="","",IFERROR(VLOOKUP(D113,'ERP account codes'!$A$5:$C$273,3,FALSE),"CHECK CODE"))</x:f>
      </x:c>
      <x:c r="D113" s="8" t="str"/>
      <x:c r="E113" s="11"/>
      <x:c r="F113" s="11"/>
      <x:c r="G113"/>
      <x:c r="H113"/>
      <x:c r="I113"/>
    </x:row>
    <x:row r="114">
      <x:c r="A114" s="8" t="str"/>
      <x:c r="B114" s="6" t="str"/>
      <x:c r="C114" s="9" t="str">
        <x:f>IF(D114="","",IFERROR(VLOOKUP(D114,'ERP account codes'!$A$5:$C$273,3,FALSE),"CHECK CODE"))</x:f>
      </x:c>
      <x:c r="D114" s="8" t="str"/>
      <x:c r="E114" s="11"/>
      <x:c r="F114" s="11"/>
      <x:c r="G114"/>
      <x:c r="H114"/>
      <x:c r="I114"/>
    </x:row>
    <x:row r="115">
      <x:c r="A115" s="8" t="str"/>
      <x:c r="B115" s="6" t="str"/>
      <x:c r="C115" s="9" t="str">
        <x:f>IF(D115="","",IFERROR(VLOOKUP(D115,'ERP account codes'!$A$5:$C$273,3,FALSE),"CHECK CODE"))</x:f>
      </x:c>
      <x:c r="D115" s="8" t="str"/>
      <x:c r="E115" s="11"/>
      <x:c r="F115" s="11"/>
      <x:c r="G115"/>
      <x:c r="H115"/>
      <x:c r="I115"/>
    </x:row>
    <x:row r="116">
      <x:c r="A116" s="8" t="str"/>
      <x:c r="B116" s="6" t="str"/>
      <x:c r="C116" s="9" t="str">
        <x:f>IF(D116="","",IFERROR(VLOOKUP(D116,'ERP account codes'!$A$5:$C$273,3,FALSE),"CHECK CODE"))</x:f>
      </x:c>
      <x:c r="D116" s="8" t="str"/>
      <x:c r="E116" s="11"/>
      <x:c r="F116" s="11"/>
      <x:c r="G116"/>
      <x:c r="H116"/>
      <x:c r="I116"/>
    </x:row>
    <x:row r="117">
      <x:c r="A117" s="8" t="str"/>
      <x:c r="B117" s="6" t="str"/>
      <x:c r="C117" s="9" t="str">
        <x:f>IF(D117="","",IFERROR(VLOOKUP(D117,'ERP account codes'!$A$5:$C$273,3,FALSE),"CHECK CODE"))</x:f>
      </x:c>
      <x:c r="D117" s="8" t="str"/>
      <x:c r="E117" s="11"/>
      <x:c r="F117" s="11"/>
      <x:c r="G117"/>
      <x:c r="H117"/>
      <x:c r="I117"/>
    </x:row>
    <x:row r="118">
      <x:c r="A118" s="8" t="str"/>
      <x:c r="B118" s="6" t="str"/>
      <x:c r="C118" s="9" t="str">
        <x:f>IF(D118="","",IFERROR(VLOOKUP(D118,'ERP account codes'!$A$5:$C$273,3,FALSE),"CHECK CODE"))</x:f>
      </x:c>
      <x:c r="D118" s="8" t="str"/>
      <x:c r="E118" s="11"/>
      <x:c r="F118" s="11"/>
      <x:c r="G118"/>
      <x:c r="H118"/>
      <x:c r="I118"/>
    </x:row>
    <x:row r="119">
      <x:c r="A119" s="8" t="str"/>
      <x:c r="B119" s="6" t="str"/>
      <x:c r="C119" s="9" t="str">
        <x:f>IF(D119="","",IFERROR(VLOOKUP(D119,'ERP account codes'!$A$5:$C$273,3,FALSE),"CHECK CODE"))</x:f>
      </x:c>
      <x:c r="D119" s="8" t="str"/>
      <x:c r="E119" s="11"/>
      <x:c r="F119" s="11"/>
      <x:c r="G119"/>
      <x:c r="H119"/>
      <x:c r="I119"/>
    </x:row>
    <x:row r="120">
      <x:c r="A120" s="8" t="str"/>
      <x:c r="B120" s="6" t="str"/>
      <x:c r="C120" s="9" t="str">
        <x:f>IF(D120="","",IFERROR(VLOOKUP(D120,'ERP account codes'!$A$5:$C$273,3,FALSE),"CHECK CODE"))</x:f>
      </x:c>
      <x:c r="D120" s="8" t="str"/>
      <x:c r="E120" s="11"/>
      <x:c r="F120" s="11"/>
      <x:c r="G120"/>
      <x:c r="H120"/>
      <x:c r="I120"/>
    </x:row>
    <x:row r="121">
      <x:c r="A121" s="8" t="str"/>
      <x:c r="B121" s="6" t="str"/>
      <x:c r="C121" s="9" t="str">
        <x:f>IF(D121="","",IFERROR(VLOOKUP(D121,'ERP account codes'!$A$5:$C$273,3,FALSE),"CHECK CODE"))</x:f>
      </x:c>
      <x:c r="D121" s="8" t="str"/>
      <x:c r="E121" s="11"/>
      <x:c r="F121" s="11"/>
      <x:c r="G121"/>
      <x:c r="H121"/>
      <x:c r="I121"/>
    </x:row>
    <x:row r="122">
      <x:c r="A122" s="8" t="str"/>
      <x:c r="B122" s="6" t="str"/>
      <x:c r="C122" s="9" t="str">
        <x:f>IF(D122="","",IFERROR(VLOOKUP(D122,'ERP account codes'!$A$5:$C$273,3,FALSE),"CHECK CODE"))</x:f>
      </x:c>
      <x:c r="D122" s="8" t="str"/>
      <x:c r="E122" s="11"/>
      <x:c r="F122" s="11"/>
      <x:c r="G122"/>
      <x:c r="H122"/>
      <x:c r="I122"/>
    </x:row>
    <x:row r="123">
      <x:c r="A123" s="8" t="str"/>
      <x:c r="B123" s="6" t="str"/>
      <x:c r="C123" s="9" t="str">
        <x:f>IF(D123="","",IFERROR(VLOOKUP(D123,'ERP account codes'!$A$5:$C$273,3,FALSE),"CHECK CODE"))</x:f>
      </x:c>
      <x:c r="D123" s="8" t="str"/>
      <x:c r="E123" s="11"/>
      <x:c r="F123" s="11"/>
      <x:c r="G123"/>
      <x:c r="H123"/>
      <x:c r="I123"/>
    </x:row>
    <x:row r="124">
      <x:c r="A124" s="8" t="str"/>
      <x:c r="B124" s="6" t="str"/>
      <x:c r="C124" s="9" t="str">
        <x:f>IF(D124="","",IFERROR(VLOOKUP(D124,'ERP account codes'!$A$5:$C$273,3,FALSE),"CHECK CODE"))</x:f>
      </x:c>
      <x:c r="D124" s="8" t="str"/>
      <x:c r="E124" s="11"/>
      <x:c r="F124" s="11"/>
      <x:c r="G124"/>
      <x:c r="H124"/>
      <x:c r="I124"/>
    </x:row>
    <x:row r="125">
      <x:c r="A125" s="8" t="str"/>
      <x:c r="B125" s="6" t="str"/>
      <x:c r="C125" s="9" t="str">
        <x:f>IF(D125="","",IFERROR(VLOOKUP(D125,'ERP account codes'!$A$5:$C$273,3,FALSE),"CHECK CODE"))</x:f>
      </x:c>
      <x:c r="D125" s="8" t="str"/>
      <x:c r="E125" s="11"/>
      <x:c r="F125" s="11"/>
      <x:c r="G125"/>
      <x:c r="H125"/>
      <x:c r="I125"/>
    </x:row>
    <x:row r="126">
      <x:c r="A126" s="8" t="str"/>
      <x:c r="B126" s="6" t="str"/>
      <x:c r="C126" s="9" t="str">
        <x:f>IF(D126="","",IFERROR(VLOOKUP(D126,'ERP account codes'!$A$5:$C$273,3,FALSE),"CHECK CODE"))</x:f>
      </x:c>
      <x:c r="D126" s="8" t="str"/>
      <x:c r="E126" s="11"/>
      <x:c r="F126" s="11"/>
      <x:c r="G126"/>
      <x:c r="H126"/>
      <x:c r="I126"/>
    </x:row>
    <x:row r="127">
      <x:c r="A127" s="8" t="str"/>
      <x:c r="B127" s="6" t="str"/>
      <x:c r="C127" s="9" t="str">
        <x:f>IF(D127="","",IFERROR(VLOOKUP(D127,'ERP account codes'!$A$5:$C$273,3,FALSE),"CHECK CODE"))</x:f>
      </x:c>
      <x:c r="D127" s="8" t="str"/>
      <x:c r="E127" s="11"/>
      <x:c r="F127" s="11"/>
      <x:c r="G127"/>
      <x:c r="H127"/>
      <x:c r="I127"/>
    </x:row>
    <x:row r="128">
      <x:c r="A128" s="8" t="str"/>
      <x:c r="B128" s="6" t="str"/>
      <x:c r="C128" s="9" t="str">
        <x:f>IF(D128="","",IFERROR(VLOOKUP(D128,'ERP account codes'!$A$5:$C$273,3,FALSE),"CHECK CODE"))</x:f>
      </x:c>
      <x:c r="D128" s="8" t="str"/>
      <x:c r="E128" s="11"/>
      <x:c r="F128" s="11"/>
      <x:c r="G128"/>
      <x:c r="H128"/>
      <x:c r="I128"/>
    </x:row>
    <x:row r="129">
      <x:c r="A129" s="8" t="str"/>
      <x:c r="B129" s="6" t="str"/>
      <x:c r="C129" s="9" t="str">
        <x:f>IF(D129="","",IFERROR(VLOOKUP(D129,'ERP account codes'!$A$5:$C$273,3,FALSE),"CHECK CODE"))</x:f>
      </x:c>
      <x:c r="D129" s="8" t="str"/>
      <x:c r="E129" s="11"/>
      <x:c r="F129" s="11"/>
      <x:c r="G129"/>
      <x:c r="H129"/>
      <x:c r="I129"/>
    </x:row>
    <x:row r="130">
      <x:c r="A130" s="8" t="str"/>
      <x:c r="B130" s="6" t="str"/>
      <x:c r="C130" s="9" t="str">
        <x:f>IF(D130="","",IFERROR(VLOOKUP(D130,'ERP account codes'!$A$5:$C$273,3,FALSE),"CHECK CODE"))</x:f>
      </x:c>
      <x:c r="D130" s="8" t="str"/>
      <x:c r="E130" s="11"/>
      <x:c r="F130" s="11"/>
      <x:c r="G130"/>
      <x:c r="H130"/>
      <x:c r="I130"/>
    </x:row>
    <x:row r="131">
      <x:c r="A131" s="8" t="str"/>
      <x:c r="B131" s="6" t="str"/>
      <x:c r="C131" s="9" t="str">
        <x:f>IF(D131="","",IFERROR(VLOOKUP(D131,'ERP account codes'!$A$5:$C$273,3,FALSE),"CHECK CODE"))</x:f>
      </x:c>
      <x:c r="D131" s="8" t="str"/>
      <x:c r="E131" s="11"/>
      <x:c r="F131" s="11"/>
      <x:c r="G131"/>
      <x:c r="H131"/>
      <x:c r="I131"/>
    </x:row>
    <x:row r="132">
      <x:c r="A132" s="8" t="str"/>
      <x:c r="B132" s="6" t="str"/>
      <x:c r="C132" s="9" t="str">
        <x:f>IF(D132="","",IFERROR(VLOOKUP(D132,'ERP account codes'!$A$5:$C$273,3,FALSE),"CHECK CODE"))</x:f>
      </x:c>
      <x:c r="D132" s="8" t="str"/>
      <x:c r="E132" s="11"/>
      <x:c r="F132" s="11"/>
      <x:c r="G132"/>
      <x:c r="H132"/>
      <x:c r="I132"/>
    </x:row>
    <x:row r="133">
      <x:c r="A133" s="8" t="str"/>
      <x:c r="B133" s="6" t="str"/>
      <x:c r="C133" s="9" t="str">
        <x:f>IF(D133="","",IFERROR(VLOOKUP(D133,'ERP account codes'!$A$5:$C$273,3,FALSE),"CHECK CODE"))</x:f>
      </x:c>
      <x:c r="D133" s="8" t="str"/>
      <x:c r="E133" s="11"/>
      <x:c r="F133" s="11"/>
      <x:c r="G133"/>
      <x:c r="H133"/>
      <x:c r="I133"/>
    </x:row>
    <x:row r="134">
      <x:c r="A134" s="8" t="str"/>
      <x:c r="B134" s="6" t="str"/>
      <x:c r="C134" s="9" t="str">
        <x:f>IF(D134="","",IFERROR(VLOOKUP(D134,'ERP account codes'!$A$5:$C$273,3,FALSE),"CHECK CODE"))</x:f>
      </x:c>
      <x:c r="D134" s="8" t="str"/>
      <x:c r="E134" s="11"/>
      <x:c r="F134" s="11"/>
      <x:c r="G134"/>
      <x:c r="H134"/>
      <x:c r="I134"/>
    </x:row>
    <x:row r="135">
      <x:c r="A135" s="8" t="str"/>
      <x:c r="B135" s="6" t="str"/>
      <x:c r="C135" s="9" t="str">
        <x:f>IF(D135="","",IFERROR(VLOOKUP(D135,'ERP account codes'!$A$5:$C$273,3,FALSE),"CHECK CODE"))</x:f>
      </x:c>
      <x:c r="D135" s="8" t="str"/>
      <x:c r="E135" s="11"/>
      <x:c r="F135" s="11"/>
      <x:c r="G135"/>
      <x:c r="H135"/>
      <x:c r="I135"/>
    </x:row>
    <x:row r="136">
      <x:c r="A136" s="8" t="str"/>
      <x:c r="B136" s="6" t="str"/>
      <x:c r="C136" s="9" t="str">
        <x:f>IF(D136="","",IFERROR(VLOOKUP(D136,'ERP account codes'!$A$5:$C$273,3,FALSE),"CHECK CODE"))</x:f>
      </x:c>
      <x:c r="D136" s="8" t="str"/>
      <x:c r="E136" s="11"/>
      <x:c r="F136" s="11"/>
      <x:c r="G136"/>
      <x:c r="H136"/>
      <x:c r="I136"/>
    </x:row>
    <x:row r="137">
      <x:c r="A137" s="8" t="str"/>
      <x:c r="B137" s="6" t="str"/>
      <x:c r="C137" s="9" t="str">
        <x:f>IF(D137="","",IFERROR(VLOOKUP(D137,'ERP account codes'!$A$5:$C$273,3,FALSE),"CHECK CODE"))</x:f>
      </x:c>
      <x:c r="D137" s="8" t="str"/>
      <x:c r="E137" s="11"/>
      <x:c r="F137" s="11"/>
      <x:c r="G137"/>
      <x:c r="H137"/>
      <x:c r="I137"/>
    </x:row>
    <x:row r="138">
      <x:c r="A138" s="8" t="str"/>
      <x:c r="B138" s="6" t="str"/>
      <x:c r="C138" s="9" t="str">
        <x:f>IF(D138="","",IFERROR(VLOOKUP(D138,'ERP account codes'!$A$5:$C$273,3,FALSE),"CHECK CODE"))</x:f>
      </x:c>
      <x:c r="D138" s="8" t="str"/>
      <x:c r="E138" s="11"/>
      <x:c r="F138" s="11"/>
      <x:c r="G138"/>
      <x:c r="H138"/>
      <x:c r="I138"/>
    </x:row>
    <x:row r="139">
      <x:c r="A139" s="8" t="str"/>
      <x:c r="B139" s="6" t="str"/>
      <x:c r="C139" s="9" t="str">
        <x:f>IF(D139="","",IFERROR(VLOOKUP(D139,'ERP account codes'!$A$5:$C$273,3,FALSE),"CHECK CODE"))</x:f>
      </x:c>
      <x:c r="D139" s="8" t="str"/>
      <x:c r="E139" s="11"/>
      <x:c r="F139" s="11"/>
      <x:c r="G139"/>
      <x:c r="H139"/>
      <x:c r="I139"/>
    </x:row>
    <x:row r="140">
      <x:c r="A140" s="8" t="str"/>
      <x:c r="B140" s="6" t="str"/>
      <x:c r="C140" s="9" t="str">
        <x:f>IF(D140="","",IFERROR(VLOOKUP(D140,'ERP account codes'!$A$5:$C$273,3,FALSE),"CHECK CODE"))</x:f>
      </x:c>
      <x:c r="D140" s="8" t="str"/>
      <x:c r="E140" s="11"/>
      <x:c r="F140" s="11"/>
      <x:c r="G140"/>
      <x:c r="H140"/>
      <x:c r="I140"/>
    </x:row>
    <x:row r="141">
      <x:c r="A141" s="8" t="str"/>
      <x:c r="B141" s="6" t="str"/>
      <x:c r="C141" s="9" t="str">
        <x:f>IF(D141="","",IFERROR(VLOOKUP(D141,'ERP account codes'!$A$5:$C$273,3,FALSE),"CHECK CODE"))</x:f>
      </x:c>
      <x:c r="D141" s="8" t="str"/>
      <x:c r="E141" s="11"/>
      <x:c r="F141" s="11"/>
      <x:c r="G141"/>
      <x:c r="H141"/>
      <x:c r="I141"/>
    </x:row>
    <x:row r="142">
      <x:c r="A142" s="8" t="str"/>
      <x:c r="B142" s="6" t="str"/>
      <x:c r="C142" s="9" t="str">
        <x:f>IF(D142="","",IFERROR(VLOOKUP(D142,'ERP account codes'!$A$5:$C$273,3,FALSE),"CHECK CODE"))</x:f>
      </x:c>
      <x:c r="D142" s="8" t="str"/>
      <x:c r="E142" s="11"/>
      <x:c r="F142" s="11"/>
      <x:c r="G142"/>
      <x:c r="H142"/>
      <x:c r="I142"/>
    </x:row>
    <x:row r="143">
      <x:c r="A143" s="8" t="str"/>
      <x:c r="B143" s="6" t="str"/>
      <x:c r="C143" s="9" t="str">
        <x:f>IF(D143="","",IFERROR(VLOOKUP(D143,'ERP account codes'!$A$5:$C$273,3,FALSE),"CHECK CODE"))</x:f>
      </x:c>
      <x:c r="D143" s="8" t="str"/>
      <x:c r="E143" s="11"/>
      <x:c r="F143" s="11"/>
      <x:c r="G143"/>
      <x:c r="H143"/>
      <x:c r="I143"/>
    </x:row>
    <x:row r="144">
      <x:c r="A144" s="8" t="str"/>
      <x:c r="B144" s="6" t="str"/>
      <x:c r="C144" s="9" t="str">
        <x:f>IF(D144="","",IFERROR(VLOOKUP(D144,'ERP account codes'!$A$5:$C$273,3,FALSE),"CHECK CODE"))</x:f>
      </x:c>
      <x:c r="D144" s="8" t="str"/>
      <x:c r="E144" s="11"/>
      <x:c r="F144" s="11"/>
      <x:c r="G144"/>
      <x:c r="H144"/>
      <x:c r="I144"/>
    </x:row>
    <x:row r="145">
      <x:c r="A145" s="8" t="str"/>
      <x:c r="B145" s="6" t="str"/>
      <x:c r="C145" s="9" t="str">
        <x:f>IF(D145="","",IFERROR(VLOOKUP(D145,'ERP account codes'!$A$5:$C$273,3,FALSE),"CHECK CODE"))</x:f>
      </x:c>
      <x:c r="D145" s="8" t="str"/>
      <x:c r="E145" s="11"/>
      <x:c r="F145" s="11"/>
      <x:c r="G145"/>
      <x:c r="H145"/>
      <x:c r="I145"/>
    </x:row>
    <x:row r="146">
      <x:c r="A146" s="8" t="str"/>
      <x:c r="B146" s="6" t="str"/>
      <x:c r="C146" s="9" t="str">
        <x:f>IF(D146="","",IFERROR(VLOOKUP(D146,'ERP account codes'!$A$5:$C$273,3,FALSE),"CHECK CODE"))</x:f>
      </x:c>
      <x:c r="D146" s="8" t="str"/>
      <x:c r="E146" s="11"/>
      <x:c r="F146" s="11"/>
      <x:c r="G146"/>
      <x:c r="H146"/>
      <x:c r="I146"/>
    </x:row>
    <x:row r="147">
      <x:c r="A147" s="8" t="str"/>
      <x:c r="B147" s="6" t="str"/>
      <x:c r="C147" s="9" t="str">
        <x:f>IF(D147="","",IFERROR(VLOOKUP(D147,'ERP account codes'!$A$5:$C$273,3,FALSE),"CHECK CODE"))</x:f>
      </x:c>
      <x:c r="D147" s="8" t="str"/>
      <x:c r="E147" s="11"/>
      <x:c r="F147" s="11"/>
      <x:c r="G147"/>
      <x:c r="H147"/>
      <x:c r="I147"/>
    </x:row>
    <x:row r="148">
      <x:c r="A148" s="8" t="str"/>
      <x:c r="B148" s="6" t="str"/>
      <x:c r="C148" s="9" t="str">
        <x:f>IF(D148="","",IFERROR(VLOOKUP(D148,'ERP account codes'!$A$5:$C$273,3,FALSE),"CHECK CODE"))</x:f>
      </x:c>
      <x:c r="D148" s="8" t="str"/>
      <x:c r="E148" s="11"/>
      <x:c r="F148" s="11"/>
      <x:c r="G148"/>
      <x:c r="H148"/>
      <x:c r="I148"/>
    </x:row>
    <x:row r="149">
      <x:c r="A149" s="8" t="str"/>
      <x:c r="B149" s="6" t="str"/>
      <x:c r="C149" s="9" t="str">
        <x:f>IF(D149="","",IFERROR(VLOOKUP(D149,'ERP account codes'!$A$5:$C$273,3,FALSE),"CHECK CODE"))</x:f>
      </x:c>
      <x:c r="D149" s="8" t="str"/>
      <x:c r="E149" s="11"/>
      <x:c r="F149" s="11"/>
      <x:c r="G149"/>
      <x:c r="H149"/>
      <x:c r="I149"/>
    </x:row>
    <x:row r="150">
      <x:c r="A150" s="8" t="str"/>
      <x:c r="B150" s="6" t="str"/>
      <x:c r="C150" s="9" t="str">
        <x:f>IF(D150="","",IFERROR(VLOOKUP(D150,'ERP account codes'!$A$5:$C$273,3,FALSE),"CHECK CODE"))</x:f>
      </x:c>
      <x:c r="D150" s="8" t="str"/>
      <x:c r="E150" s="11"/>
      <x:c r="F150" s="11"/>
      <x:c r="G150"/>
      <x:c r="H150"/>
      <x:c r="I150"/>
    </x:row>
    <x:row r="151">
      <x:c r="A151" s="8" t="str"/>
      <x:c r="B151" s="6" t="str"/>
      <x:c r="C151" s="9" t="str">
        <x:f>IF(D151="","",IFERROR(VLOOKUP(D151,'ERP account codes'!$A$5:$C$273,3,FALSE),"CHECK CODE"))</x:f>
      </x:c>
      <x:c r="D151" s="8" t="str"/>
      <x:c r="E151" s="11"/>
      <x:c r="F151" s="11"/>
      <x:c r="G151"/>
      <x:c r="H151"/>
      <x:c r="I151"/>
    </x:row>
    <x:row r="152">
      <x:c r="A152" s="8" t="str"/>
      <x:c r="B152" s="6" t="str"/>
      <x:c r="C152" s="9" t="str">
        <x:f>IF(D152="","",IFERROR(VLOOKUP(D152,'ERP account codes'!$A$5:$C$273,3,FALSE),"CHECK CODE"))</x:f>
      </x:c>
      <x:c r="D152" s="8" t="str"/>
      <x:c r="E152" s="11"/>
      <x:c r="F152" s="11"/>
      <x:c r="G152"/>
      <x:c r="H152"/>
      <x:c r="I152"/>
    </x:row>
    <x:row r="153">
      <x:c r="A153" s="8" t="str"/>
      <x:c r="B153" s="6" t="str"/>
      <x:c r="C153" s="9" t="str">
        <x:f>IF(D153="","",IFERROR(VLOOKUP(D153,'ERP account codes'!$A$5:$C$273,3,FALSE),"CHECK CODE"))</x:f>
      </x:c>
      <x:c r="D153" s="8" t="str"/>
      <x:c r="E153" s="11"/>
      <x:c r="F153" s="11"/>
      <x:c r="G153"/>
      <x:c r="H153"/>
      <x:c r="I153"/>
    </x:row>
    <x:row r="154">
      <x:c r="A154" s="8" t="str"/>
      <x:c r="B154" s="6" t="str"/>
      <x:c r="C154" s="9" t="str">
        <x:f>IF(D154="","",IFERROR(VLOOKUP(D154,'ERP account codes'!$A$5:$C$273,3,FALSE),"CHECK CODE"))</x:f>
      </x:c>
      <x:c r="D154" s="8" t="str"/>
      <x:c r="E154" s="11"/>
      <x:c r="F154" s="11"/>
      <x:c r="G154"/>
      <x:c r="H154"/>
      <x:c r="I154"/>
    </x:row>
    <x:row r="155">
      <x:c r="A155" s="8" t="str"/>
      <x:c r="B155" s="6" t="str"/>
      <x:c r="C155" s="9" t="str">
        <x:f>IF(D155="","",IFERROR(VLOOKUP(D155,'ERP account codes'!$A$5:$C$273,3,FALSE),"CHECK CODE"))</x:f>
      </x:c>
      <x:c r="D155" s="8" t="str"/>
      <x:c r="E155" s="11"/>
      <x:c r="F155" s="11"/>
      <x:c r="G155"/>
      <x:c r="H155"/>
      <x:c r="I155"/>
    </x:row>
    <x:row r="156">
      <x:c r="A156" s="8" t="str"/>
      <x:c r="B156" s="6" t="str"/>
      <x:c r="C156" s="9" t="str">
        <x:f>IF(D156="","",IFERROR(VLOOKUP(D156,'ERP account codes'!$A$5:$C$273,3,FALSE),"CHECK CODE"))</x:f>
      </x:c>
      <x:c r="D156" s="8" t="str"/>
      <x:c r="E156" s="11"/>
      <x:c r="F156" s="11"/>
      <x:c r="G156"/>
      <x:c r="H156"/>
      <x:c r="I156"/>
    </x:row>
    <x:row r="157">
      <x:c r="A157" s="8" t="str"/>
      <x:c r="B157" s="6" t="str"/>
      <x:c r="C157" s="9" t="str">
        <x:f>IF(D157="","",IFERROR(VLOOKUP(D157,'ERP account codes'!$A$5:$C$273,3,FALSE),"CHECK CODE"))</x:f>
      </x:c>
      <x:c r="D157" s="8" t="str"/>
      <x:c r="E157" s="11"/>
      <x:c r="F157" s="11"/>
      <x:c r="G157"/>
      <x:c r="H157"/>
      <x:c r="I157"/>
    </x:row>
    <x:row r="158">
      <x:c r="A158" s="8" t="str"/>
      <x:c r="B158" s="6" t="str"/>
      <x:c r="C158" s="9" t="str">
        <x:f>IF(D158="","",IFERROR(VLOOKUP(D158,'ERP account codes'!$A$5:$C$273,3,FALSE),"CHECK CODE"))</x:f>
      </x:c>
      <x:c r="D158" s="8" t="str"/>
      <x:c r="E158" s="11"/>
      <x:c r="F158" s="11"/>
      <x:c r="G158"/>
      <x:c r="H158"/>
      <x:c r="I158"/>
    </x:row>
    <x:row r="159">
      <x:c r="A159" s="8" t="str"/>
      <x:c r="B159" s="6" t="str"/>
      <x:c r="C159" s="9" t="str">
        <x:f>IF(D159="","",IFERROR(VLOOKUP(D159,'ERP account codes'!$A$5:$C$273,3,FALSE),"CHECK CODE"))</x:f>
      </x:c>
      <x:c r="D159" s="8" t="str"/>
      <x:c r="E159" s="11"/>
      <x:c r="F159" s="11"/>
      <x:c r="G159"/>
      <x:c r="H159"/>
      <x:c r="I159"/>
    </x:row>
    <x:row r="160">
      <x:c r="A160" s="8" t="str"/>
      <x:c r="B160" s="6" t="str"/>
      <x:c r="C160" s="9" t="str">
        <x:f>IF(D160="","",IFERROR(VLOOKUP(D160,'ERP account codes'!$A$5:$C$273,3,FALSE),"CHECK CODE"))</x:f>
      </x:c>
      <x:c r="D160" s="8" t="str"/>
      <x:c r="E160" s="11"/>
      <x:c r="F160" s="11"/>
      <x:c r="G160"/>
      <x:c r="H160"/>
      <x:c r="I160"/>
    </x:row>
    <x:row r="161">
      <x:c r="A161" s="8" t="str"/>
      <x:c r="B161" s="6" t="str"/>
      <x:c r="C161" s="9" t="str">
        <x:f>IF(D161="","",IFERROR(VLOOKUP(D161,'ERP account codes'!$A$5:$C$273,3,FALSE),"CHECK CODE"))</x:f>
      </x:c>
      <x:c r="D161" s="8" t="str"/>
      <x:c r="E161" s="11"/>
      <x:c r="F161" s="11"/>
      <x:c r="G161"/>
      <x:c r="H161"/>
      <x:c r="I161"/>
    </x:row>
    <x:row r="162">
      <x:c r="A162" s="8" t="str"/>
      <x:c r="B162" s="6" t="str"/>
      <x:c r="C162" s="9" t="str">
        <x:f>IF(D162="","",IFERROR(VLOOKUP(D162,'ERP account codes'!$A$5:$C$273,3,FALSE),"CHECK CODE"))</x:f>
      </x:c>
      <x:c r="D162" s="8" t="str"/>
      <x:c r="E162" s="11"/>
      <x:c r="F162" s="11"/>
      <x:c r="G162"/>
      <x:c r="H162"/>
      <x:c r="I162"/>
    </x:row>
    <x:row r="163">
      <x:c r="A163" s="8" t="str"/>
      <x:c r="B163" s="6" t="str"/>
      <x:c r="C163" s="9" t="str">
        <x:f>IF(D163="","",IFERROR(VLOOKUP(D163,'ERP account codes'!$A$5:$C$273,3,FALSE),"CHECK CODE"))</x:f>
      </x:c>
      <x:c r="D163" s="8" t="str"/>
      <x:c r="E163" s="11"/>
      <x:c r="F163" s="11"/>
      <x:c r="G163"/>
      <x:c r="H163"/>
      <x:c r="I163"/>
    </x:row>
    <x:row r="164">
      <x:c r="A164" s="8" t="str"/>
      <x:c r="B164" s="6" t="str"/>
      <x:c r="C164" s="9" t="str">
        <x:f>IF(D164="","",IFERROR(VLOOKUP(D164,'ERP account codes'!$A$5:$C$273,3,FALSE),"CHECK CODE"))</x:f>
      </x:c>
      <x:c r="D164" s="8" t="str"/>
      <x:c r="E164" s="11"/>
      <x:c r="F164" s="11"/>
      <x:c r="G164"/>
      <x:c r="H164"/>
      <x:c r="I164"/>
    </x:row>
    <x:row r="165">
      <x:c r="A165" s="8" t="str"/>
      <x:c r="B165" s="6" t="str"/>
      <x:c r="C165" s="9" t="str">
        <x:f>IF(D165="","",IFERROR(VLOOKUP(D165,'ERP account codes'!$A$5:$C$273,3,FALSE),"CHECK CODE"))</x:f>
      </x:c>
      <x:c r="D165" s="8" t="str"/>
      <x:c r="E165" s="11"/>
      <x:c r="F165" s="11"/>
      <x:c r="G165"/>
      <x:c r="H165"/>
      <x:c r="I165"/>
    </x:row>
    <x:row r="166">
      <x:c r="A166" s="8" t="str"/>
      <x:c r="B166" s="6" t="str"/>
      <x:c r="C166" s="9" t="str">
        <x:f>IF(D166="","",IFERROR(VLOOKUP(D166,'ERP account codes'!$A$5:$C$273,3,FALSE),"CHECK CODE"))</x:f>
      </x:c>
      <x:c r="D166" s="8" t="str"/>
      <x:c r="E166" s="11"/>
      <x:c r="F166" s="11"/>
      <x:c r="G166"/>
      <x:c r="H166"/>
      <x:c r="I166"/>
    </x:row>
    <x:row r="167">
      <x:c r="A167" s="8" t="str"/>
      <x:c r="B167" s="6" t="str"/>
      <x:c r="C167" s="9" t="str">
        <x:f>IF(D167="","",IFERROR(VLOOKUP(D167,'ERP account codes'!$A$5:$C$273,3,FALSE),"CHECK CODE"))</x:f>
      </x:c>
      <x:c r="D167" s="8" t="str"/>
      <x:c r="E167" s="11"/>
      <x:c r="F167" s="11"/>
      <x:c r="G167"/>
      <x:c r="H167"/>
      <x:c r="I167"/>
    </x:row>
    <x:row r="168">
      <x:c r="A168" s="8" t="str"/>
      <x:c r="B168" s="6" t="str"/>
      <x:c r="C168" s="9" t="str">
        <x:f>IF(D168="","",IFERROR(VLOOKUP(D168,'ERP account codes'!$A$5:$C$273,3,FALSE),"CHECK CODE"))</x:f>
      </x:c>
      <x:c r="D168" s="8" t="str"/>
      <x:c r="E168" s="11"/>
      <x:c r="F168" s="11"/>
      <x:c r="G168"/>
      <x:c r="H168"/>
      <x:c r="I168"/>
    </x:row>
    <x:row r="169">
      <x:c r="A169" s="8" t="str"/>
      <x:c r="B169" s="6" t="str"/>
      <x:c r="C169" s="9" t="str">
        <x:f>IF(D169="","",IFERROR(VLOOKUP(D169,'ERP account codes'!$A$5:$C$273,3,FALSE),"CHECK CODE"))</x:f>
      </x:c>
      <x:c r="D169" s="8" t="str"/>
      <x:c r="E169" s="11"/>
      <x:c r="F169" s="11"/>
      <x:c r="G169"/>
      <x:c r="H169"/>
      <x:c r="I169"/>
    </x:row>
    <x:row r="170">
      <x:c r="A170" s="8" t="str"/>
      <x:c r="B170" s="6" t="str"/>
      <x:c r="C170" s="9" t="str">
        <x:f>IF(D170="","",IFERROR(VLOOKUP(D170,'ERP account codes'!$A$5:$C$273,3,FALSE),"CHECK CODE"))</x:f>
      </x:c>
      <x:c r="D170" s="8" t="str"/>
      <x:c r="E170" s="11"/>
      <x:c r="F170" s="11"/>
      <x:c r="G170"/>
      <x:c r="H170"/>
      <x:c r="I170"/>
    </x:row>
    <x:row r="171">
      <x:c r="A171" s="8" t="str"/>
      <x:c r="B171" s="6" t="str"/>
      <x:c r="C171" s="9" t="str">
        <x:f>IF(D171="","",IFERROR(VLOOKUP(D171,'ERP account codes'!$A$5:$C$273,3,FALSE),"CHECK CODE"))</x:f>
      </x:c>
      <x:c r="D171" s="8" t="str"/>
      <x:c r="E171" s="11"/>
      <x:c r="F171" s="11"/>
      <x:c r="G171"/>
      <x:c r="H171"/>
      <x:c r="I171"/>
    </x:row>
    <x:row r="172">
      <x:c r="A172" s="8" t="str"/>
      <x:c r="B172" s="6" t="str"/>
      <x:c r="C172" s="9" t="str">
        <x:f>IF(D172="","",IFERROR(VLOOKUP(D172,'ERP account codes'!$A$5:$C$273,3,FALSE),"CHECK CODE"))</x:f>
      </x:c>
      <x:c r="D172" s="8" t="str"/>
      <x:c r="E172" s="11"/>
      <x:c r="F172" s="11"/>
      <x:c r="G172"/>
      <x:c r="H172"/>
      <x:c r="I172"/>
    </x:row>
    <x:row r="173">
      <x:c r="A173" s="8" t="str"/>
      <x:c r="B173" s="6" t="str"/>
      <x:c r="C173" s="9" t="str">
        <x:f>IF(D173="","",IFERROR(VLOOKUP(D173,'ERP account codes'!$A$5:$C$273,3,FALSE),"CHECK CODE"))</x:f>
      </x:c>
      <x:c r="D173" s="8" t="str"/>
      <x:c r="E173" s="11"/>
      <x:c r="F173" s="11"/>
      <x:c r="G173"/>
      <x:c r="H173"/>
      <x:c r="I173"/>
    </x:row>
    <x:row r="174">
      <x:c r="A174" s="8" t="str"/>
      <x:c r="B174" s="6" t="str"/>
      <x:c r="C174" s="9" t="str">
        <x:f>IF(D174="","",IFERROR(VLOOKUP(D174,'ERP account codes'!$A$5:$C$273,3,FALSE),"CHECK CODE"))</x:f>
      </x:c>
      <x:c r="D174" s="8" t="str"/>
      <x:c r="E174" s="11"/>
      <x:c r="F174" s="11"/>
      <x:c r="G174"/>
      <x:c r="H174"/>
      <x:c r="I174"/>
    </x:row>
    <x:row r="175">
      <x:c r="A175" s="8" t="str"/>
      <x:c r="B175" s="6" t="str"/>
      <x:c r="C175" s="9" t="str">
        <x:f>IF(D175="","",IFERROR(VLOOKUP(D175,'ERP account codes'!$A$5:$C$273,3,FALSE),"CHECK CODE"))</x:f>
      </x:c>
      <x:c r="D175" s="8" t="str"/>
      <x:c r="E175" s="11"/>
      <x:c r="F175" s="11"/>
      <x:c r="G175"/>
      <x:c r="H175"/>
      <x:c r="I175"/>
    </x:row>
    <x:row r="176">
      <x:c r="A176" s="8" t="str"/>
      <x:c r="B176" s="6" t="str"/>
      <x:c r="C176" s="9" t="str">
        <x:f>IF(D176="","",IFERROR(VLOOKUP(D176,'ERP account codes'!$A$5:$C$273,3,FALSE),"CHECK CODE"))</x:f>
      </x:c>
      <x:c r="D176" s="8" t="str"/>
      <x:c r="E176" s="11"/>
      <x:c r="F176" s="11"/>
      <x:c r="G176"/>
      <x:c r="H176"/>
      <x:c r="I176"/>
    </x:row>
    <x:row r="177">
      <x:c r="A177" s="8" t="str"/>
      <x:c r="B177" s="6" t="str"/>
      <x:c r="C177" s="9" t="str">
        <x:f>IF(D177="","",IFERROR(VLOOKUP(D177,'ERP account codes'!$A$5:$C$273,3,FALSE),"CHECK CODE"))</x:f>
      </x:c>
      <x:c r="D177" s="8" t="str"/>
      <x:c r="E177" s="11"/>
      <x:c r="F177" s="11"/>
      <x:c r="G177"/>
      <x:c r="H177"/>
      <x:c r="I177"/>
    </x:row>
    <x:row r="178">
      <x:c r="A178" s="8" t="str"/>
      <x:c r="B178" s="6" t="str"/>
      <x:c r="C178" s="9" t="str">
        <x:f>IF(D178="","",IFERROR(VLOOKUP(D178,'ERP account codes'!$A$5:$C$273,3,FALSE),"CHECK CODE"))</x:f>
      </x:c>
      <x:c r="D178" s="8" t="str"/>
      <x:c r="E178" s="11"/>
      <x:c r="F178" s="11"/>
      <x:c r="G178"/>
      <x:c r="H178"/>
      <x:c r="I178"/>
    </x:row>
    <x:row r="179">
      <x:c r="A179" s="8" t="str"/>
      <x:c r="B179" s="6" t="str"/>
      <x:c r="C179" s="9" t="str">
        <x:f>IF(D179="","",IFERROR(VLOOKUP(D179,'ERP account codes'!$A$5:$C$273,3,FALSE),"CHECK CODE"))</x:f>
      </x:c>
      <x:c r="D179" s="8" t="str"/>
      <x:c r="E179" s="11"/>
      <x:c r="F179" s="11"/>
      <x:c r="G179"/>
      <x:c r="H179"/>
      <x:c r="I179"/>
    </x:row>
    <x:row r="180">
      <x:c r="A180" s="8" t="str"/>
      <x:c r="B180" s="6" t="str"/>
      <x:c r="C180" s="9" t="str">
        <x:f>IF(D180="","",IFERROR(VLOOKUP(D180,'ERP account codes'!$A$5:$C$273,3,FALSE),"CHECK CODE"))</x:f>
      </x:c>
      <x:c r="D180" s="8" t="str"/>
      <x:c r="E180" s="11"/>
      <x:c r="F180" s="11"/>
      <x:c r="G180"/>
      <x:c r="H180"/>
      <x:c r="I180"/>
    </x:row>
    <x:row r="181">
      <x:c r="A181" s="8" t="str"/>
      <x:c r="B181" s="6" t="str"/>
      <x:c r="C181" s="9" t="str">
        <x:f>IF(D181="","",IFERROR(VLOOKUP(D181,'ERP account codes'!$A$5:$C$273,3,FALSE),"CHECK CODE"))</x:f>
      </x:c>
      <x:c r="D181" s="8" t="str"/>
      <x:c r="E181" s="11"/>
      <x:c r="F181" s="11"/>
      <x:c r="G181"/>
      <x:c r="H181"/>
      <x:c r="I181"/>
    </x:row>
    <x:row r="182">
      <x:c r="A182" s="8" t="str"/>
      <x:c r="B182" s="6" t="str"/>
      <x:c r="C182" s="9" t="str">
        <x:f>IF(D182="","",IFERROR(VLOOKUP(D182,'ERP account codes'!$A$5:$C$273,3,FALSE),"CHECK CODE"))</x:f>
      </x:c>
      <x:c r="D182" s="8" t="str"/>
      <x:c r="E182" s="11"/>
      <x:c r="F182" s="11"/>
      <x:c r="G182"/>
      <x:c r="H182"/>
      <x:c r="I182"/>
    </x:row>
    <x:row r="183">
      <x:c r="A183" s="8" t="str"/>
      <x:c r="B183" s="6" t="str"/>
      <x:c r="C183" s="9" t="str">
        <x:f>IF(D183="","",IFERROR(VLOOKUP(D183,'ERP account codes'!$A$5:$C$273,3,FALSE),"CHECK CODE"))</x:f>
      </x:c>
      <x:c r="D183" s="8" t="str"/>
      <x:c r="E183" s="11"/>
      <x:c r="F183" s="11"/>
      <x:c r="G183"/>
      <x:c r="H183"/>
      <x:c r="I183"/>
    </x:row>
    <x:row r="184">
      <x:c r="A184" s="8" t="str"/>
      <x:c r="B184" s="6" t="str"/>
      <x:c r="C184" s="9" t="str">
        <x:f>IF(D184="","",IFERROR(VLOOKUP(D184,'ERP account codes'!$A$5:$C$273,3,FALSE),"CHECK CODE"))</x:f>
      </x:c>
      <x:c r="D184" s="8" t="str"/>
      <x:c r="E184" s="11"/>
      <x:c r="F184" s="11"/>
      <x:c r="G184"/>
      <x:c r="H184"/>
      <x:c r="I184"/>
    </x:row>
    <x:row r="185">
      <x:c r="A185" s="8" t="str"/>
      <x:c r="B185" s="6" t="str"/>
      <x:c r="C185" s="9" t="str">
        <x:f>IF(D185="","",IFERROR(VLOOKUP(D185,'ERP account codes'!$A$5:$C$273,3,FALSE),"CHECK CODE"))</x:f>
      </x:c>
      <x:c r="D185" s="8" t="str"/>
      <x:c r="E185" s="11"/>
      <x:c r="F185" s="11"/>
      <x:c r="G185"/>
      <x:c r="H185"/>
      <x:c r="I185"/>
    </x:row>
    <x:row r="186">
      <x:c r="A186" s="8" t="str"/>
      <x:c r="B186" s="6" t="str"/>
      <x:c r="C186" s="9" t="str">
        <x:f>IF(D186="","",IFERROR(VLOOKUP(D186,'ERP account codes'!$A$5:$C$273,3,FALSE),"CHECK CODE"))</x:f>
      </x:c>
      <x:c r="D186" s="8" t="str"/>
      <x:c r="E186" s="11"/>
      <x:c r="F186" s="11"/>
      <x:c r="G186"/>
      <x:c r="H186"/>
      <x:c r="I186"/>
    </x:row>
    <x:row r="187">
      <x:c r="A187" s="8" t="str"/>
      <x:c r="B187" s="6" t="str"/>
      <x:c r="C187" s="9" t="str">
        <x:f>IF(D187="","",IFERROR(VLOOKUP(D187,'ERP account codes'!$A$5:$C$273,3,FALSE),"CHECK CODE"))</x:f>
      </x:c>
      <x:c r="D187" s="8" t="str"/>
      <x:c r="E187" s="11"/>
      <x:c r="F187" s="11"/>
      <x:c r="G187"/>
      <x:c r="H187"/>
      <x:c r="I187"/>
    </x:row>
    <x:row r="188">
      <x:c r="A188" s="8" t="str"/>
      <x:c r="B188" s="6" t="str"/>
      <x:c r="C188" s="9" t="str">
        <x:f>IF(D188="","",IFERROR(VLOOKUP(D188,'ERP account codes'!$A$5:$C$273,3,FALSE),"CHECK CODE"))</x:f>
      </x:c>
      <x:c r="D188" s="8" t="str"/>
      <x:c r="E188" s="11"/>
      <x:c r="F188" s="11"/>
      <x:c r="G188"/>
      <x:c r="H188"/>
      <x:c r="I188"/>
    </x:row>
    <x:row r="189">
      <x:c r="A189" s="8" t="str"/>
      <x:c r="B189" s="6" t="str"/>
      <x:c r="C189" s="9" t="str">
        <x:f>IF(D189="","",IFERROR(VLOOKUP(D189,'ERP account codes'!$A$5:$C$273,3,FALSE),"CHECK CODE"))</x:f>
      </x:c>
      <x:c r="D189" s="8" t="str"/>
      <x:c r="E189" s="11"/>
      <x:c r="F189" s="11"/>
      <x:c r="G189"/>
      <x:c r="H189"/>
      <x:c r="I189"/>
    </x:row>
    <x:row r="190">
      <x:c r="A190" s="8" t="str"/>
      <x:c r="B190" s="6" t="str"/>
      <x:c r="C190" s="9" t="str">
        <x:f>IF(D190="","",IFERROR(VLOOKUP(D190,'ERP account codes'!$A$5:$C$273,3,FALSE),"CHECK CODE"))</x:f>
      </x:c>
      <x:c r="D190" s="8" t="str"/>
      <x:c r="E190" s="11"/>
      <x:c r="F190" s="11"/>
      <x:c r="G190"/>
      <x:c r="H190"/>
      <x:c r="I190"/>
    </x:row>
    <x:row r="191">
      <x:c r="A191" s="8" t="str"/>
      <x:c r="B191" s="6" t="str"/>
      <x:c r="C191" s="9" t="str">
        <x:f>IF(D191="","",IFERROR(VLOOKUP(D191,'ERP account codes'!$A$5:$C$273,3,FALSE),"CHECK CODE"))</x:f>
      </x:c>
      <x:c r="D191" s="8" t="str"/>
      <x:c r="E191" s="11"/>
      <x:c r="F191" s="11"/>
      <x:c r="G191"/>
      <x:c r="H191"/>
      <x:c r="I191"/>
    </x:row>
    <x:row r="192">
      <x:c r="A192" s="8" t="str"/>
      <x:c r="B192" s="6" t="str"/>
      <x:c r="C192" s="9" t="str">
        <x:f>IF(D192="","",IFERROR(VLOOKUP(D192,'ERP account codes'!$A$5:$C$273,3,FALSE),"CHECK CODE"))</x:f>
      </x:c>
      <x:c r="D192" s="8" t="str"/>
      <x:c r="E192" s="11"/>
      <x:c r="F192" s="11"/>
      <x:c r="G192"/>
      <x:c r="H192"/>
      <x:c r="I192"/>
    </x:row>
    <x:row r="193">
      <x:c r="A193" s="8" t="str"/>
      <x:c r="B193" s="6" t="str"/>
      <x:c r="C193" s="9" t="str">
        <x:f>IF(D193="","",IFERROR(VLOOKUP(D193,'ERP account codes'!$A$5:$C$273,3,FALSE),"CHECK CODE"))</x:f>
      </x:c>
      <x:c r="D193" s="8" t="str"/>
      <x:c r="E193" s="11"/>
      <x:c r="F193" s="11"/>
      <x:c r="G193"/>
      <x:c r="H193"/>
      <x:c r="I193"/>
    </x:row>
    <x:row r="194">
      <x:c r="A194" s="8" t="str"/>
      <x:c r="B194" s="6" t="str"/>
      <x:c r="C194" s="9" t="str">
        <x:f>IF(D194="","",IFERROR(VLOOKUP(D194,'ERP account codes'!$A$5:$C$273,3,FALSE),"CHECK CODE"))</x:f>
      </x:c>
      <x:c r="D194" s="8" t="str"/>
      <x:c r="E194" s="11"/>
      <x:c r="F194" s="11"/>
      <x:c r="G194"/>
      <x:c r="H194"/>
      <x:c r="I194"/>
    </x:row>
    <x:row r="195">
      <x:c r="A195" s="8" t="str"/>
      <x:c r="B195" s="6" t="str"/>
      <x:c r="C195" s="9" t="str">
        <x:f>IF(D195="","",IFERROR(VLOOKUP(D195,'ERP account codes'!$A$5:$C$273,3,FALSE),"CHECK CODE"))</x:f>
      </x:c>
      <x:c r="D195" s="8" t="str"/>
      <x:c r="E195" s="11"/>
      <x:c r="F195" s="11"/>
      <x:c r="G195"/>
      <x:c r="H195"/>
      <x:c r="I195"/>
    </x:row>
    <x:row r="196">
      <x:c r="A196" s="8" t="str"/>
      <x:c r="B196" s="6" t="str"/>
      <x:c r="C196" s="9" t="str">
        <x:f>IF(D196="","",IFERROR(VLOOKUP(D196,'ERP account codes'!$A$5:$C$273,3,FALSE),"CHECK CODE"))</x:f>
      </x:c>
      <x:c r="D196" s="8" t="str"/>
      <x:c r="E196" s="11"/>
      <x:c r="F196" s="11"/>
      <x:c r="G196"/>
      <x:c r="H196"/>
      <x:c r="I196"/>
    </x:row>
    <x:row r="197">
      <x:c r="A197" s="8" t="str"/>
      <x:c r="B197" s="6" t="str"/>
      <x:c r="C197" s="9" t="str">
        <x:f>IF(D197="","",IFERROR(VLOOKUP(D197,'ERP account codes'!$A$5:$C$273,3,FALSE),"CHECK CODE"))</x:f>
      </x:c>
      <x:c r="D197" s="8" t="str"/>
      <x:c r="E197" s="11"/>
      <x:c r="F197" s="11"/>
      <x:c r="G197"/>
      <x:c r="H197"/>
      <x:c r="I197"/>
    </x:row>
    <x:row r="198">
      <x:c r="A198" s="8" t="str"/>
      <x:c r="B198" s="6" t="str"/>
      <x:c r="C198" s="9" t="str">
        <x:f>IF(D198="","",IFERROR(VLOOKUP(D198,'ERP account codes'!$A$5:$C$273,3,FALSE),"CHECK CODE"))</x:f>
      </x:c>
      <x:c r="D198" s="8" t="str"/>
      <x:c r="E198" s="11"/>
      <x:c r="F198" s="11"/>
      <x:c r="G198"/>
      <x:c r="H198"/>
      <x:c r="I198"/>
    </x:row>
    <x:row r="199">
      <x:c r="A199" s="8" t="str"/>
      <x:c r="B199" s="6" t="str"/>
      <x:c r="C199" s="9" t="str">
        <x:f>IF(D199="","",IFERROR(VLOOKUP(D199,'ERP account codes'!$A$5:$C$273,3,FALSE),"CHECK CODE"))</x:f>
      </x:c>
      <x:c r="D199" s="8" t="str"/>
      <x:c r="E199" s="11"/>
      <x:c r="F199" s="11"/>
      <x:c r="G199"/>
      <x:c r="H199"/>
      <x:c r="I199"/>
    </x:row>
    <x:row r="200">
      <x:c r="A200" s="8" t="str"/>
      <x:c r="B200" s="6" t="str"/>
      <x:c r="C200" s="9" t="str">
        <x:f>IF(D200="","",IFERROR(VLOOKUP(D200,'ERP account codes'!$A$5:$C$273,3,FALSE),"CHECK CODE"))</x:f>
      </x:c>
      <x:c r="D200" s="8" t="str"/>
      <x:c r="E200" s="11"/>
      <x:c r="F200" s="11"/>
      <x:c r="G200"/>
      <x:c r="H200"/>
      <x:c r="I200"/>
    </x:row>
    <x:row r="201">
      <x:c r="A201" s="8" t="str"/>
      <x:c r="B201" s="6" t="str"/>
      <x:c r="C201" s="9" t="str">
        <x:f>IF(D201="","",IFERROR(VLOOKUP(D201,'ERP account codes'!$A$5:$C$273,3,FALSE),"CHECK CODE"))</x:f>
      </x:c>
      <x:c r="D201" s="8" t="str"/>
      <x:c r="E201" s="11"/>
      <x:c r="F201" s="11"/>
      <x:c r="G201"/>
      <x:c r="H201"/>
      <x:c r="I201"/>
    </x:row>
    <x:row r="202">
      <x:c r="A202" s="8" t="str"/>
      <x:c r="B202" s="6" t="str"/>
      <x:c r="C202" s="9" t="str">
        <x:f>IF(D202="","",IFERROR(VLOOKUP(D202,'ERP account codes'!$A$5:$C$273,3,FALSE),"CHECK CODE"))</x:f>
      </x:c>
      <x:c r="D202" s="8" t="str"/>
      <x:c r="E202" s="11"/>
      <x:c r="F202" s="11"/>
      <x:c r="G202"/>
      <x:c r="H202"/>
      <x:c r="I202"/>
    </x:row>
    <x:row r="203">
      <x:c r="A203" s="8" t="str"/>
      <x:c r="B203" s="6" t="str"/>
      <x:c r="C203" s="9" t="str">
        <x:f>IF(D203="","",IFERROR(VLOOKUP(D203,'ERP account codes'!$A$5:$C$273,3,FALSE),"CHECK CODE"))</x:f>
      </x:c>
      <x:c r="D203" s="8" t="str"/>
      <x:c r="E203" s="11"/>
      <x:c r="F203" s="11"/>
      <x:c r="G203"/>
      <x:c r="H203"/>
      <x:c r="I203"/>
    </x:row>
    <x:row r="204">
      <x:c r="A204" s="8" t="str"/>
      <x:c r="B204" s="6" t="str"/>
      <x:c r="C204" s="9" t="str">
        <x:f>IF(D204="","",IFERROR(VLOOKUP(D204,'ERP account codes'!$A$5:$C$273,3,FALSE),"CHECK CODE"))</x:f>
      </x:c>
      <x:c r="D204" s="8" t="str"/>
      <x:c r="E204" s="11"/>
      <x:c r="F204" s="11"/>
      <x:c r="G204"/>
      <x:c r="H204"/>
      <x:c r="I204"/>
    </x:row>
    <x:row r="205">
      <x:c r="A205" s="8" t="str"/>
      <x:c r="B205" s="6" t="str"/>
      <x:c r="C205" s="9" t="str">
        <x:f>IF(D205="","",IFERROR(VLOOKUP(D205,'ERP account codes'!$A$5:$C$273,3,FALSE),"CHECK CODE"))</x:f>
      </x:c>
      <x:c r="D205" s="8" t="str"/>
      <x:c r="E205" s="11"/>
      <x:c r="F205" s="11"/>
      <x:c r="G205"/>
      <x:c r="H205"/>
      <x:c r="I205"/>
    </x:row>
    <x:row r="206">
      <x:c r="A206" s="8" t="str"/>
      <x:c r="B206" s="6" t="str"/>
      <x:c r="C206" s="9" t="str">
        <x:f>IF(D206="","",IFERROR(VLOOKUP(D206,'ERP account codes'!$A$5:$C$273,3,FALSE),"CHECK CODE"))</x:f>
      </x:c>
      <x:c r="D206" s="8" t="str"/>
      <x:c r="E206" s="11"/>
      <x:c r="F206" s="11"/>
      <x:c r="G206"/>
      <x:c r="H206"/>
      <x:c r="I206"/>
    </x:row>
    <x:row r="207">
      <x:c r="A207" s="8" t="str"/>
      <x:c r="B207" s="6" t="str"/>
      <x:c r="C207" s="9" t="str">
        <x:f>IF(D207="","",IFERROR(VLOOKUP(D207,'ERP account codes'!$A$5:$C$273,3,FALSE),"CHECK CODE"))</x:f>
      </x:c>
      <x:c r="D207" s="8" t="str"/>
      <x:c r="E207" s="11"/>
      <x:c r="F207" s="11"/>
      <x:c r="G207"/>
      <x:c r="H207"/>
      <x:c r="I207"/>
    </x:row>
    <x:row r="208">
      <x:c r="A208" s="8" t="str"/>
      <x:c r="B208" s="6" t="str"/>
      <x:c r="C208" s="9" t="str">
        <x:f>IF(D208="","",IFERROR(VLOOKUP(D208,'ERP account codes'!$A$5:$C$273,3,FALSE),"CHECK CODE"))</x:f>
      </x:c>
      <x:c r="D208" s="8" t="str"/>
      <x:c r="E208" s="11"/>
      <x:c r="F208" s="11"/>
      <x:c r="G208"/>
      <x:c r="H208"/>
      <x:c r="I208"/>
    </x:row>
    <x:row r="209">
      <x:c r="A209" s="8" t="str"/>
      <x:c r="B209" s="6" t="str"/>
      <x:c r="C209" s="9" t="str">
        <x:f>IF(D209="","",IFERROR(VLOOKUP(D209,'ERP account codes'!$A$5:$C$273,3,FALSE),"CHECK CODE"))</x:f>
      </x:c>
      <x:c r="D209" s="8" t="str"/>
      <x:c r="E209" s="11"/>
      <x:c r="F209" s="11"/>
      <x:c r="G209"/>
      <x:c r="H209"/>
      <x:c r="I209"/>
    </x:row>
    <x:row r="210">
      <x:c r="A210" s="8" t="str"/>
      <x:c r="B210" s="6" t="str"/>
      <x:c r="C210" s="9" t="str">
        <x:f>IF(D210="","",IFERROR(VLOOKUP(D210,'ERP account codes'!$A$5:$C$273,3,FALSE),"CHECK CODE"))</x:f>
      </x:c>
      <x:c r="D210" s="8" t="str"/>
      <x:c r="E210" s="11"/>
      <x:c r="F210" s="11"/>
      <x:c r="G210"/>
      <x:c r="H210"/>
      <x:c r="I210"/>
    </x:row>
    <x:row r="211">
      <x:c r="A211" s="8" t="str"/>
      <x:c r="B211" s="6" t="str"/>
      <x:c r="C211" s="9" t="str">
        <x:f>IF(D211="","",IFERROR(VLOOKUP(D211,'ERP account codes'!$A$5:$C$273,3,FALSE),"CHECK CODE"))</x:f>
      </x:c>
      <x:c r="D211" s="8" t="str"/>
      <x:c r="E211" s="11"/>
      <x:c r="F211" s="11"/>
      <x:c r="G211"/>
      <x:c r="H211"/>
      <x:c r="I211"/>
    </x:row>
    <x:row r="212">
      <x:c r="A212" s="8" t="str"/>
      <x:c r="B212" s="6" t="str"/>
      <x:c r="C212" s="9" t="str">
        <x:f>IF(D212="","",IFERROR(VLOOKUP(D212,'ERP account codes'!$A$5:$C$273,3,FALSE),"CHECK CODE"))</x:f>
      </x:c>
      <x:c r="D212" s="8" t="str"/>
      <x:c r="E212" s="11"/>
      <x:c r="F212" s="11"/>
      <x:c r="G212"/>
      <x:c r="H212"/>
      <x:c r="I212"/>
    </x:row>
    <x:row r="213">
      <x:c r="A213" s="8" t="str"/>
      <x:c r="B213" s="6" t="str"/>
      <x:c r="C213" s="9" t="str">
        <x:f>IF(D213="","",IFERROR(VLOOKUP(D213,'ERP account codes'!$A$5:$C$273,3,FALSE),"CHECK CODE"))</x:f>
      </x:c>
      <x:c r="D213" s="8" t="str"/>
      <x:c r="E213" s="11"/>
      <x:c r="F213" s="11"/>
      <x:c r="G213"/>
      <x:c r="H213"/>
      <x:c r="I213"/>
    </x:row>
    <x:row r="214">
      <x:c r="A214" s="8" t="str"/>
      <x:c r="B214" s="6" t="str"/>
      <x:c r="C214" s="9" t="str">
        <x:f>IF(D214="","",IFERROR(VLOOKUP(D214,'ERP account codes'!$A$5:$C$273,3,FALSE),"CHECK CODE"))</x:f>
      </x:c>
      <x:c r="D214" s="8" t="str"/>
      <x:c r="E214" s="11"/>
      <x:c r="F214" s="11"/>
      <x:c r="G214"/>
      <x:c r="H214"/>
      <x:c r="I214"/>
    </x:row>
    <x:row r="215">
      <x:c r="A215" s="8" t="str"/>
      <x:c r="B215" s="6" t="str"/>
      <x:c r="C215" s="9" t="str">
        <x:f>IF(D215="","",IFERROR(VLOOKUP(D215,'ERP account codes'!$A$5:$C$273,3,FALSE),"CHECK CODE"))</x:f>
      </x:c>
      <x:c r="D215" s="8" t="str"/>
      <x:c r="E215" s="11"/>
      <x:c r="F215" s="11"/>
      <x:c r="G215"/>
      <x:c r="H215"/>
      <x:c r="I215"/>
    </x:row>
    <x:row r="216">
      <x:c r="A216" s="8" t="str"/>
      <x:c r="B216" s="6" t="str"/>
      <x:c r="C216" s="9" t="str">
        <x:f>IF(D216="","",IFERROR(VLOOKUP(D216,'ERP account codes'!$A$5:$C$273,3,FALSE),"CHECK CODE"))</x:f>
      </x:c>
      <x:c r="D216" s="8" t="str"/>
      <x:c r="E216" s="11"/>
      <x:c r="F216" s="11"/>
      <x:c r="G216"/>
      <x:c r="H216"/>
      <x:c r="I216"/>
    </x:row>
    <x:row r="217">
      <x:c r="A217" s="8" t="str"/>
      <x:c r="B217" s="6" t="str"/>
      <x:c r="C217" s="9" t="str">
        <x:f>IF(D217="","",IFERROR(VLOOKUP(D217,'ERP account codes'!$A$5:$C$273,3,FALSE),"CHECK CODE"))</x:f>
      </x:c>
      <x:c r="D217" s="8" t="str"/>
      <x:c r="E217" s="11"/>
      <x:c r="F217" s="11"/>
      <x:c r="G217"/>
      <x:c r="H217"/>
      <x:c r="I217"/>
    </x:row>
    <x:row r="218">
      <x:c r="A218" s="8" t="str"/>
      <x:c r="B218" s="6" t="str"/>
      <x:c r="C218" s="9" t="str">
        <x:f>IF(D218="","",IFERROR(VLOOKUP(D218,'ERP account codes'!$A$5:$C$273,3,FALSE),"CHECK CODE"))</x:f>
      </x:c>
      <x:c r="D218" s="8" t="str"/>
      <x:c r="E218" s="11"/>
      <x:c r="F218" s="11"/>
      <x:c r="G218"/>
      <x:c r="H218"/>
      <x:c r="I218"/>
    </x:row>
    <x:row r="219">
      <x:c r="A219" s="8" t="str"/>
      <x:c r="B219" s="6" t="str"/>
      <x:c r="C219" s="9" t="str">
        <x:f>IF(D219="","",IFERROR(VLOOKUP(D219,'ERP account codes'!$A$5:$C$273,3,FALSE),"CHECK CODE"))</x:f>
      </x:c>
      <x:c r="D219" s="8" t="str"/>
      <x:c r="E219" s="11"/>
      <x:c r="F219" s="11"/>
      <x:c r="G219"/>
      <x:c r="H219"/>
      <x:c r="I219"/>
    </x:row>
    <x:row r="220">
      <x:c r="A220" s="8" t="str"/>
      <x:c r="B220" s="6" t="str"/>
      <x:c r="C220" s="9" t="str">
        <x:f>IF(D220="","",IFERROR(VLOOKUP(D220,'ERP account codes'!$A$5:$C$273,3,FALSE),"CHECK CODE"))</x:f>
      </x:c>
      <x:c r="D220" s="8" t="str"/>
      <x:c r="E220" s="11"/>
      <x:c r="F220" s="11"/>
      <x:c r="G220"/>
      <x:c r="H220"/>
      <x:c r="I220"/>
    </x:row>
    <x:row r="221">
      <x:c r="A221" s="8" t="str"/>
      <x:c r="B221" s="6" t="str"/>
      <x:c r="C221" s="9" t="str">
        <x:f>IF(D221="","",IFERROR(VLOOKUP(D221,'ERP account codes'!$A$5:$C$273,3,FALSE),"CHECK CODE"))</x:f>
      </x:c>
      <x:c r="D221" s="8" t="str"/>
      <x:c r="E221" s="11"/>
      <x:c r="F221" s="11"/>
      <x:c r="G221"/>
      <x:c r="H221"/>
      <x:c r="I221"/>
    </x:row>
    <x:row r="222">
      <x:c r="A222" s="8" t="str"/>
      <x:c r="B222" s="6" t="str"/>
      <x:c r="C222" s="9" t="str">
        <x:f>IF(D222="","",IFERROR(VLOOKUP(D222,'ERP account codes'!$A$5:$C$273,3,FALSE),"CHECK CODE"))</x:f>
      </x:c>
      <x:c r="D222" s="8" t="str"/>
      <x:c r="E222" s="11"/>
      <x:c r="F222" s="11"/>
      <x:c r="G222"/>
      <x:c r="H222"/>
      <x:c r="I222"/>
    </x:row>
    <x:row r="223">
      <x:c r="A223" s="8" t="str"/>
      <x:c r="B223" s="6" t="str"/>
      <x:c r="C223" s="9" t="str">
        <x:f>IF(D223="","",IFERROR(VLOOKUP(D223,'ERP account codes'!$A$5:$C$273,3,FALSE),"CHECK CODE"))</x:f>
      </x:c>
      <x:c r="D223" s="8" t="str"/>
      <x:c r="E223" s="11"/>
      <x:c r="F223" s="11"/>
      <x:c r="G223"/>
      <x:c r="H223"/>
      <x:c r="I223"/>
    </x:row>
    <x:row r="224">
      <x:c r="A224" s="8" t="str"/>
      <x:c r="B224" s="6" t="str"/>
      <x:c r="C224" s="9" t="str">
        <x:f>IF(D224="","",IFERROR(VLOOKUP(D224,'ERP account codes'!$A$5:$C$273,3,FALSE),"CHECK CODE"))</x:f>
      </x:c>
      <x:c r="D224" s="8" t="str"/>
      <x:c r="E224" s="11"/>
      <x:c r="F224" s="11"/>
      <x:c r="G224"/>
      <x:c r="H224"/>
      <x:c r="I224"/>
    </x:row>
    <x:row r="225">
      <x:c r="A225" s="8" t="str"/>
      <x:c r="B225" s="6" t="str"/>
      <x:c r="C225" s="9" t="str">
        <x:f>IF(D225="","",IFERROR(VLOOKUP(D225,'ERP account codes'!$A$5:$C$273,3,FALSE),"CHECK CODE"))</x:f>
      </x:c>
      <x:c r="D225" s="8" t="str"/>
      <x:c r="E225" s="11"/>
      <x:c r="F225" s="11"/>
      <x:c r="G225"/>
      <x:c r="H225"/>
      <x:c r="I225"/>
    </x:row>
    <x:row r="226">
      <x:c r="A226" s="8" t="str"/>
      <x:c r="B226" s="6" t="str"/>
      <x:c r="C226" s="9" t="str">
        <x:f>IF(D226="","",IFERROR(VLOOKUP(D226,'ERP account codes'!$A$5:$C$273,3,FALSE),"CHECK CODE"))</x:f>
      </x:c>
      <x:c r="D226" s="8" t="str"/>
      <x:c r="E226" s="11"/>
      <x:c r="F226" s="11"/>
      <x:c r="G226"/>
      <x:c r="H226"/>
      <x:c r="I226"/>
    </x:row>
    <x:row r="227">
      <x:c r="A227" s="8" t="str"/>
      <x:c r="B227" s="6" t="str"/>
      <x:c r="C227" s="9" t="str">
        <x:f>IF(D227="","",IFERROR(VLOOKUP(D227,'ERP account codes'!$A$5:$C$273,3,FALSE),"CHECK CODE"))</x:f>
      </x:c>
      <x:c r="D227" s="8" t="str"/>
      <x:c r="E227" s="11"/>
      <x:c r="F227" s="11"/>
      <x:c r="G227"/>
      <x:c r="H227"/>
      <x:c r="I227"/>
    </x:row>
    <x:row r="228">
      <x:c r="A228" s="8" t="str"/>
      <x:c r="B228" s="6" t="str"/>
      <x:c r="C228" s="9" t="str">
        <x:f>IF(D228="","",IFERROR(VLOOKUP(D228,'ERP account codes'!$A$5:$C$273,3,FALSE),"CHECK CODE"))</x:f>
      </x:c>
      <x:c r="D228" s="8" t="str"/>
      <x:c r="E228" s="11"/>
      <x:c r="F228" s="11"/>
      <x:c r="G228"/>
      <x:c r="H228"/>
      <x:c r="I228"/>
    </x:row>
    <x:row r="229">
      <x:c r="A229" s="8" t="str"/>
      <x:c r="B229" s="6" t="str"/>
      <x:c r="C229" s="9" t="str">
        <x:f>IF(D229="","",IFERROR(VLOOKUP(D229,'ERP account codes'!$A$5:$C$273,3,FALSE),"CHECK CODE"))</x:f>
      </x:c>
      <x:c r="D229" s="8" t="str"/>
      <x:c r="E229" s="11"/>
      <x:c r="F229" s="11"/>
      <x:c r="G229"/>
      <x:c r="H229"/>
      <x:c r="I229"/>
    </x:row>
    <x:row r="230">
      <x:c r="A230" s="8" t="str"/>
      <x:c r="B230" s="6" t="str"/>
      <x:c r="C230" s="9" t="str">
        <x:f>IF(D230="","",IFERROR(VLOOKUP(D230,'ERP account codes'!$A$5:$C$273,3,FALSE),"CHECK CODE"))</x:f>
      </x:c>
      <x:c r="D230" s="8" t="str"/>
      <x:c r="E230" s="11"/>
      <x:c r="F230" s="11"/>
      <x:c r="G230"/>
      <x:c r="H230"/>
      <x:c r="I230"/>
    </x:row>
    <x:row r="231">
      <x:c r="A231" s="8" t="str"/>
      <x:c r="B231" s="6" t="str"/>
      <x:c r="C231" s="9" t="str">
        <x:f>IF(D231="","",IFERROR(VLOOKUP(D231,'ERP account codes'!$A$5:$C$273,3,FALSE),"CHECK CODE"))</x:f>
      </x:c>
      <x:c r="D231" s="8" t="str"/>
      <x:c r="E231" s="11"/>
      <x:c r="F231" s="11"/>
      <x:c r="G231"/>
      <x:c r="H231"/>
      <x:c r="I231"/>
    </x:row>
    <x:row r="232">
      <x:c r="A232" s="8" t="str"/>
      <x:c r="B232" s="6" t="str"/>
      <x:c r="C232" s="9" t="str">
        <x:f>IF(D232="","",IFERROR(VLOOKUP(D232,'ERP account codes'!$A$5:$C$273,3,FALSE),"CHECK CODE"))</x:f>
      </x:c>
      <x:c r="D232" s="8" t="str"/>
      <x:c r="E232" s="11"/>
      <x:c r="F232" s="11"/>
      <x:c r="G232"/>
      <x:c r="H232"/>
      <x:c r="I232"/>
    </x:row>
    <x:row r="233">
      <x:c r="A233" s="8" t="str"/>
      <x:c r="B233" s="6" t="str"/>
      <x:c r="C233" s="9" t="str">
        <x:f>IF(D233="","",IFERROR(VLOOKUP(D233,'ERP account codes'!$A$5:$C$273,3,FALSE),"CHECK CODE"))</x:f>
      </x:c>
      <x:c r="D233" s="8" t="str"/>
      <x:c r="E233" s="11"/>
      <x:c r="F233" s="11"/>
      <x:c r="G233"/>
      <x:c r="H233"/>
      <x:c r="I233"/>
    </x:row>
    <x:row r="234">
      <x:c r="A234" s="8" t="str"/>
      <x:c r="B234" s="6" t="str"/>
      <x:c r="C234" s="9" t="str">
        <x:f>IF(D234="","",IFERROR(VLOOKUP(D234,'ERP account codes'!$A$5:$C$273,3,FALSE),"CHECK CODE"))</x:f>
      </x:c>
      <x:c r="D234" s="8" t="str"/>
      <x:c r="E234" s="11"/>
      <x:c r="F234" s="11"/>
      <x:c r="G234"/>
      <x:c r="H234"/>
      <x:c r="I234"/>
    </x:row>
    <x:row r="235">
      <x:c r="A235" s="8" t="str"/>
      <x:c r="B235" s="6" t="str"/>
      <x:c r="C235" s="9" t="str">
        <x:f>IF(D235="","",IFERROR(VLOOKUP(D235,'ERP account codes'!$A$5:$C$273,3,FALSE),"CHECK CODE"))</x:f>
      </x:c>
      <x:c r="D235" s="8" t="str"/>
      <x:c r="E235" s="11"/>
      <x:c r="F235" s="11"/>
      <x:c r="G235"/>
      <x:c r="H235"/>
      <x:c r="I235"/>
    </x:row>
    <x:row r="236">
      <x:c r="A236" s="8" t="str"/>
      <x:c r="B236" s="6" t="str"/>
      <x:c r="C236" s="9" t="str">
        <x:f>IF(D236="","",IFERROR(VLOOKUP(D236,'ERP account codes'!$A$5:$C$273,3,FALSE),"CHECK CODE"))</x:f>
      </x:c>
      <x:c r="D236" s="8" t="str"/>
      <x:c r="E236" s="11"/>
      <x:c r="F236" s="11"/>
      <x:c r="G236"/>
      <x:c r="H236"/>
      <x:c r="I236"/>
    </x:row>
    <x:row r="237">
      <x:c r="A237" s="8" t="str"/>
      <x:c r="B237" s="6" t="str"/>
      <x:c r="C237" s="9" t="str">
        <x:f>IF(D237="","",IFERROR(VLOOKUP(D237,'ERP account codes'!$A$5:$C$273,3,FALSE),"CHECK CODE"))</x:f>
      </x:c>
      <x:c r="D237" s="8" t="str"/>
      <x:c r="E237" s="11"/>
      <x:c r="F237" s="11"/>
      <x:c r="G237"/>
      <x:c r="H237"/>
      <x:c r="I237"/>
    </x:row>
    <x:row r="238">
      <x:c r="A238" s="8" t="str"/>
      <x:c r="B238" s="6" t="str"/>
      <x:c r="C238" s="9" t="str">
        <x:f>IF(D238="","",IFERROR(VLOOKUP(D238,'ERP account codes'!$A$5:$C$273,3,FALSE),"CHECK CODE"))</x:f>
      </x:c>
      <x:c r="D238" s="8" t="str"/>
      <x:c r="E238" s="11"/>
      <x:c r="F238" s="11"/>
      <x:c r="G238"/>
      <x:c r="H238"/>
      <x:c r="I238"/>
    </x:row>
    <x:row r="239">
      <x:c r="A239" s="8" t="str"/>
      <x:c r="B239" s="6" t="str"/>
      <x:c r="C239" s="9" t="str">
        <x:f>IF(D239="","",IFERROR(VLOOKUP(D239,'ERP account codes'!$A$5:$C$273,3,FALSE),"CHECK CODE"))</x:f>
      </x:c>
      <x:c r="D239" s="8" t="str"/>
      <x:c r="E239" s="11"/>
      <x:c r="F239" s="11"/>
      <x:c r="G239"/>
      <x:c r="H239"/>
      <x:c r="I239"/>
    </x:row>
    <x:row r="240">
      <x:c r="A240" s="8" t="str"/>
      <x:c r="B240" s="6" t="str"/>
      <x:c r="C240" s="9" t="str">
        <x:f>IF(D240="","",IFERROR(VLOOKUP(D240,'ERP account codes'!$A$5:$C$273,3,FALSE),"CHECK CODE"))</x:f>
      </x:c>
      <x:c r="D240" s="8" t="str"/>
      <x:c r="E240" s="11"/>
      <x:c r="F240" s="11"/>
      <x:c r="G240"/>
      <x:c r="H240"/>
      <x:c r="I240"/>
    </x:row>
    <x:row r="241">
      <x:c r="A241" s="8" t="str"/>
      <x:c r="B241" s="6" t="str"/>
      <x:c r="C241" s="9" t="str">
        <x:f>IF(D241="","",IFERROR(VLOOKUP(D241,'ERP account codes'!$A$5:$C$273,3,FALSE),"CHECK CODE"))</x:f>
      </x:c>
      <x:c r="D241" s="8" t="str"/>
      <x:c r="E241" s="11"/>
      <x:c r="F241" s="11"/>
      <x:c r="G241"/>
      <x:c r="H241"/>
      <x:c r="I241"/>
    </x:row>
    <x:row r="242">
      <x:c r="A242" s="8" t="str"/>
      <x:c r="B242" s="6" t="str"/>
      <x:c r="C242" s="9" t="str">
        <x:f>IF(D242="","",IFERROR(VLOOKUP(D242,'ERP account codes'!$A$5:$C$273,3,FALSE),"CHECK CODE"))</x:f>
      </x:c>
      <x:c r="D242" s="8" t="str"/>
      <x:c r="E242" s="11"/>
      <x:c r="F242" s="11"/>
      <x:c r="G242"/>
      <x:c r="H242"/>
      <x:c r="I242"/>
    </x:row>
    <x:row r="243">
      <x:c r="A243" s="8" t="str"/>
      <x:c r="B243" s="6" t="str"/>
      <x:c r="C243" s="9" t="str">
        <x:f>IF(D243="","",IFERROR(VLOOKUP(D243,'ERP account codes'!$A$5:$C$273,3,FALSE),"CHECK CODE"))</x:f>
      </x:c>
      <x:c r="D243" s="8" t="str"/>
      <x:c r="E243" s="11"/>
      <x:c r="F243" s="11"/>
      <x:c r="G243"/>
      <x:c r="H243"/>
      <x:c r="I243"/>
    </x:row>
    <x:row r="244">
      <x:c r="A244" s="8" t="str"/>
      <x:c r="B244" s="6" t="str"/>
      <x:c r="C244" s="9" t="str">
        <x:f>IF(D244="","",IFERROR(VLOOKUP(D244,'ERP account codes'!$A$5:$C$273,3,FALSE),"CHECK CODE"))</x:f>
      </x:c>
      <x:c r="D244" s="8" t="str"/>
      <x:c r="E244" s="11"/>
      <x:c r="F244" s="11"/>
      <x:c r="G244"/>
      <x:c r="H244"/>
      <x:c r="I244"/>
    </x:row>
    <x:row r="245">
      <x:c r="A245" s="8" t="str"/>
      <x:c r="B245" s="6" t="str"/>
      <x:c r="C245" s="9" t="str">
        <x:f>IF(D245="","",IFERROR(VLOOKUP(D245,'ERP account codes'!$A$5:$C$273,3,FALSE),"CHECK CODE"))</x:f>
      </x:c>
      <x:c r="D245" s="8" t="str"/>
      <x:c r="E245" s="11"/>
      <x:c r="F245" s="11"/>
      <x:c r="G245"/>
      <x:c r="H245"/>
      <x:c r="I245"/>
    </x:row>
    <x:row r="246">
      <x:c r="A246" s="8" t="str"/>
      <x:c r="B246" s="6" t="str"/>
      <x:c r="C246" s="9" t="str">
        <x:f>IF(D246="","",IFERROR(VLOOKUP(D246,'ERP account codes'!$A$5:$C$273,3,FALSE),"CHECK CODE"))</x:f>
      </x:c>
      <x:c r="D246" s="8" t="str"/>
      <x:c r="E246" s="11"/>
      <x:c r="F246" s="11"/>
      <x:c r="G246"/>
      <x:c r="H246"/>
      <x:c r="I246"/>
    </x:row>
    <x:row r="247">
      <x:c r="A247" s="8" t="str"/>
      <x:c r="B247" s="6" t="str"/>
      <x:c r="C247" s="9" t="str">
        <x:f>IF(D247="","",IFERROR(VLOOKUP(D247,'ERP account codes'!$A$5:$C$273,3,FALSE),"CHECK CODE"))</x:f>
      </x:c>
      <x:c r="D247" s="8" t="str"/>
      <x:c r="E247" s="11"/>
      <x:c r="F247" s="11"/>
      <x:c r="G247"/>
      <x:c r="H247"/>
      <x:c r="I247"/>
    </x:row>
    <x:row r="248">
      <x:c r="A248" s="8" t="str"/>
      <x:c r="B248" s="6" t="str"/>
      <x:c r="C248" s="9" t="str">
        <x:f>IF(D248="","",IFERROR(VLOOKUP(D248,'ERP account codes'!$A$5:$C$273,3,FALSE),"CHECK CODE"))</x:f>
      </x:c>
      <x:c r="D248" s="8" t="str"/>
      <x:c r="E248" s="11"/>
      <x:c r="F248" s="11"/>
      <x:c r="G248"/>
      <x:c r="H248"/>
      <x:c r="I248"/>
    </x:row>
    <x:row r="249">
      <x:c r="A249" s="8" t="str"/>
      <x:c r="B249" s="6" t="str"/>
      <x:c r="C249" s="9" t="str">
        <x:f>IF(D249="","",IFERROR(VLOOKUP(D249,'ERP account codes'!$A$5:$C$273,3,FALSE),"CHECK CODE"))</x:f>
      </x:c>
      <x:c r="D249" s="8" t="str"/>
      <x:c r="E249" s="11"/>
      <x:c r="F249" s="11"/>
      <x:c r="G249"/>
      <x:c r="H249"/>
      <x:c r="I249"/>
    </x:row>
    <x:row r="250">
      <x:c r="A250" s="8" t="str"/>
      <x:c r="B250" s="6" t="str"/>
      <x:c r="C250" s="9" t="str">
        <x:f>IF(D250="","",IFERROR(VLOOKUP(D250,'ERP account codes'!$A$5:$C$273,3,FALSE),"CHECK CODE"))</x:f>
      </x:c>
      <x:c r="D250" s="8" t="str"/>
      <x:c r="E250" s="11"/>
      <x:c r="F250" s="11"/>
      <x:c r="G250"/>
      <x:c r="H250"/>
      <x:c r="I250"/>
    </x:row>
    <x:row r="251">
      <x:c r="A251" s="8" t="str"/>
      <x:c r="B251" s="6" t="str"/>
      <x:c r="C251" s="9" t="str">
        <x:f>IF(D251="","",IFERROR(VLOOKUP(D251,'ERP account codes'!$A$5:$C$273,3,FALSE),"CHECK CODE"))</x:f>
      </x:c>
      <x:c r="D251" s="8" t="str"/>
      <x:c r="E251" s="11"/>
      <x:c r="F251" s="11"/>
      <x:c r="G251"/>
      <x:c r="H251"/>
      <x:c r="I251"/>
    </x:row>
    <x:row r="252">
      <x:c r="A252" s="8" t="str"/>
      <x:c r="B252" s="6" t="str"/>
      <x:c r="C252" s="9" t="str">
        <x:f>IF(D252="","",IFERROR(VLOOKUP(D252,'ERP account codes'!$A$5:$C$273,3,FALSE),"CHECK CODE"))</x:f>
      </x:c>
      <x:c r="D252" s="8" t="str"/>
      <x:c r="E252" s="11"/>
      <x:c r="F252" s="11"/>
      <x:c r="G252"/>
      <x:c r="H252"/>
      <x:c r="I252"/>
    </x:row>
    <x:row r="253">
      <x:c r="A253" s="8" t="str"/>
      <x:c r="B253" s="6" t="str"/>
      <x:c r="C253" s="9" t="str">
        <x:f>IF(D253="","",IFERROR(VLOOKUP(D253,'ERP account codes'!$A$5:$C$273,3,FALSE),"CHECK CODE"))</x:f>
      </x:c>
      <x:c r="D253" s="8" t="str"/>
      <x:c r="E253" s="11"/>
      <x:c r="F253" s="11"/>
      <x:c r="G253"/>
      <x:c r="H253"/>
      <x:c r="I253"/>
    </x:row>
    <x:row r="254">
      <x:c r="A254" s="8" t="str"/>
      <x:c r="B254" s="6" t="str"/>
      <x:c r="C254" s="9" t="str">
        <x:f>IF(D254="","",IFERROR(VLOOKUP(D254,'ERP account codes'!$A$5:$C$273,3,FALSE),"CHECK CODE"))</x:f>
      </x:c>
      <x:c r="D254" s="8" t="str"/>
      <x:c r="E254" s="11"/>
      <x:c r="F254" s="11"/>
      <x:c r="G254"/>
      <x:c r="H254"/>
      <x:c r="I254"/>
    </x:row>
    <x:row r="255">
      <x:c r="A255" s="8" t="str"/>
      <x:c r="B255" s="6" t="str"/>
      <x:c r="C255" s="9" t="str">
        <x:f>IF(D255="","",IFERROR(VLOOKUP(D255,'ERP account codes'!$A$5:$C$273,3,FALSE),"CHECK CODE"))</x:f>
      </x:c>
      <x:c r="D255" s="8" t="str"/>
      <x:c r="E255" s="11"/>
      <x:c r="F255" s="11"/>
      <x:c r="G255"/>
      <x:c r="H255"/>
      <x:c r="I255"/>
    </x:row>
    <x:row r="256">
      <x:c r="A256" s="8" t="str"/>
      <x:c r="B256" s="6" t="str"/>
      <x:c r="C256" s="9" t="str">
        <x:f>IF(D256="","",IFERROR(VLOOKUP(D256,'ERP account codes'!$A$5:$C$273,3,FALSE),"CHECK CODE"))</x:f>
      </x:c>
      <x:c r="D256" s="8" t="str"/>
      <x:c r="E256" s="11"/>
      <x:c r="F256" s="11"/>
      <x:c r="G256"/>
      <x:c r="H256"/>
      <x:c r="I256"/>
    </x:row>
    <x:row r="257">
      <x:c r="A257" s="8" t="str"/>
      <x:c r="B257" s="6" t="str"/>
      <x:c r="C257" s="9" t="str">
        <x:f>IF(D257="","",IFERROR(VLOOKUP(D257,'ERP account codes'!$A$5:$C$273,3,FALSE),"CHECK CODE"))</x:f>
      </x:c>
      <x:c r="D257" s="8" t="str"/>
      <x:c r="E257" s="11"/>
      <x:c r="F257" s="11"/>
      <x:c r="G257"/>
      <x:c r="H257"/>
      <x:c r="I257"/>
    </x:row>
    <x:row r="258">
      <x:c r="A258" s="8" t="str"/>
      <x:c r="B258" s="6" t="str"/>
      <x:c r="C258" s="9" t="str">
        <x:f>IF(D258="","",IFERROR(VLOOKUP(D258,'ERP account codes'!$A$5:$C$273,3,FALSE),"CHECK CODE"))</x:f>
      </x:c>
      <x:c r="D258" s="8" t="str"/>
      <x:c r="E258" s="11"/>
      <x:c r="F258" s="11"/>
      <x:c r="G258"/>
      <x:c r="H258"/>
      <x:c r="I258"/>
    </x:row>
    <x:row r="259">
      <x:c r="A259" s="8" t="str"/>
      <x:c r="B259" s="6" t="str"/>
      <x:c r="C259" s="9" t="str">
        <x:f>IF(D259="","",IFERROR(VLOOKUP(D259,'ERP account codes'!$A$5:$C$273,3,FALSE),"CHECK CODE"))</x:f>
      </x:c>
      <x:c r="D259" s="8" t="str"/>
      <x:c r="E259" s="11"/>
      <x:c r="F259" s="11"/>
      <x:c r="G259"/>
      <x:c r="H259"/>
      <x:c r="I259"/>
    </x:row>
    <x:row r="260">
      <x:c r="A260" s="8" t="str"/>
      <x:c r="B260" s="6" t="str"/>
      <x:c r="C260" s="9" t="str">
        <x:f>IF(D260="","",IFERROR(VLOOKUP(D260,'ERP account codes'!$A$5:$C$273,3,FALSE),"CHECK CODE"))</x:f>
      </x:c>
      <x:c r="D260" s="8" t="str"/>
      <x:c r="E260" s="11"/>
      <x:c r="F260" s="11"/>
      <x:c r="G260"/>
      <x:c r="H260"/>
      <x:c r="I260"/>
    </x:row>
    <x:row r="261">
      <x:c r="A261" s="8" t="str"/>
      <x:c r="B261" s="6" t="str"/>
      <x:c r="C261" s="9" t="str">
        <x:f>IF(D261="","",IFERROR(VLOOKUP(D261,'ERP account codes'!$A$5:$C$273,3,FALSE),"CHECK CODE"))</x:f>
      </x:c>
      <x:c r="D261" s="8" t="str"/>
      <x:c r="E261" s="11"/>
      <x:c r="F261" s="11"/>
      <x:c r="G261"/>
      <x:c r="H261"/>
      <x:c r="I261"/>
    </x:row>
    <x:row r="262">
      <x:c r="A262" s="8" t="str"/>
      <x:c r="B262" s="6" t="str"/>
      <x:c r="C262" s="9" t="str">
        <x:f>IF(D262="","",IFERROR(VLOOKUP(D262,'ERP account codes'!$A$5:$C$273,3,FALSE),"CHECK CODE"))</x:f>
      </x:c>
      <x:c r="D262" s="8" t="str"/>
      <x:c r="E262" s="11"/>
      <x:c r="F262" s="11"/>
      <x:c r="G262"/>
      <x:c r="H262"/>
      <x:c r="I262"/>
    </x:row>
    <x:row r="263">
      <x:c r="A263" s="8" t="str"/>
      <x:c r="B263" s="6" t="str"/>
      <x:c r="C263" s="9" t="str">
        <x:f>IF(D263="","",IFERROR(VLOOKUP(D263,'ERP account codes'!$A$5:$C$273,3,FALSE),"CHECK CODE"))</x:f>
      </x:c>
      <x:c r="D263" s="8" t="str"/>
      <x:c r="E263" s="11"/>
      <x:c r="F263" s="11"/>
      <x:c r="G263"/>
      <x:c r="H263"/>
      <x:c r="I263"/>
    </x:row>
    <x:row r="264">
      <x:c r="A264" s="8" t="str"/>
      <x:c r="B264" s="6" t="str"/>
      <x:c r="C264" s="9" t="str">
        <x:f>IF(D264="","",IFERROR(VLOOKUP(D264,'ERP account codes'!$A$5:$C$273,3,FALSE),"CHECK CODE"))</x:f>
      </x:c>
      <x:c r="D264" s="8" t="str"/>
      <x:c r="E264" s="11"/>
      <x:c r="F264" s="11"/>
      <x:c r="G264"/>
      <x:c r="H264"/>
      <x:c r="I264"/>
    </x:row>
    <x:row r="265">
      <x:c r="A265" s="8" t="str"/>
      <x:c r="B265" s="6" t="str"/>
      <x:c r="C265" s="9" t="str">
        <x:f>IF(D265="","",IFERROR(VLOOKUP(D265,'ERP account codes'!$A$5:$C$273,3,FALSE),"CHECK CODE"))</x:f>
      </x:c>
      <x:c r="D265" s="8" t="str"/>
      <x:c r="E265" s="11"/>
      <x:c r="F265" s="11"/>
      <x:c r="G265"/>
      <x:c r="H265"/>
      <x:c r="I265"/>
    </x:row>
    <x:row r="266">
      <x:c r="A266" s="8" t="str"/>
      <x:c r="B266" s="6" t="str"/>
      <x:c r="C266" s="9" t="str">
        <x:f>IF(D266="","",IFERROR(VLOOKUP(D266,'ERP account codes'!$A$5:$C$273,3,FALSE),"CHECK CODE"))</x:f>
      </x:c>
      <x:c r="D266" s="8" t="str"/>
      <x:c r="E266" s="11"/>
      <x:c r="F266" s="11"/>
      <x:c r="G266"/>
      <x:c r="H266"/>
      <x:c r="I266"/>
    </x:row>
    <x:row r="267">
      <x:c r="A267" s="8" t="str"/>
      <x:c r="B267" s="6" t="str"/>
      <x:c r="C267" s="9" t="str">
        <x:f>IF(D267="","",IFERROR(VLOOKUP(D267,'ERP account codes'!$A$5:$C$273,3,FALSE),"CHECK CODE"))</x:f>
      </x:c>
      <x:c r="D267" s="8" t="str"/>
      <x:c r="E267" s="11"/>
      <x:c r="F267" s="11"/>
      <x:c r="G267"/>
      <x:c r="H267"/>
      <x:c r="I267"/>
    </x:row>
    <x:row r="268">
      <x:c r="A268" s="8" t="str"/>
      <x:c r="B268" s="6" t="str"/>
      <x:c r="C268" s="9" t="str">
        <x:f>IF(D268="","",IFERROR(VLOOKUP(D268,'ERP account codes'!$A$5:$C$273,3,FALSE),"CHECK CODE"))</x:f>
      </x:c>
      <x:c r="D268" s="8" t="str"/>
      <x:c r="E268" s="11"/>
      <x:c r="F268" s="11"/>
      <x:c r="G268"/>
      <x:c r="H268"/>
      <x:c r="I268"/>
    </x:row>
    <x:row r="269">
      <x:c r="A269" s="8" t="str"/>
      <x:c r="B269" s="6" t="str"/>
      <x:c r="C269" s="9" t="str">
        <x:f>IF(D269="","",IFERROR(VLOOKUP(D269,'ERP account codes'!$A$5:$C$273,3,FALSE),"CHECK CODE"))</x:f>
      </x:c>
      <x:c r="D269" s="8" t="str"/>
      <x:c r="E269" s="11"/>
      <x:c r="F269" s="11"/>
      <x:c r="G269"/>
      <x:c r="H269"/>
      <x:c r="I269"/>
    </x:row>
    <x:row r="270">
      <x:c r="A270" s="8" t="str"/>
      <x:c r="B270" s="6" t="str"/>
      <x:c r="C270" s="9" t="str">
        <x:f>IF(D270="","",IFERROR(VLOOKUP(D270,'ERP account codes'!$A$5:$C$273,3,FALSE),"CHECK CODE"))</x:f>
      </x:c>
      <x:c r="D270" s="8" t="str"/>
      <x:c r="E270" s="11"/>
      <x:c r="F270" s="11"/>
      <x:c r="G270"/>
      <x:c r="H270"/>
      <x:c r="I270"/>
    </x:row>
    <x:row r="271">
      <x:c r="A271" s="8" t="str"/>
      <x:c r="B271" s="6" t="str"/>
      <x:c r="C271" s="9" t="str">
        <x:f>IF(D271="","",IFERROR(VLOOKUP(D271,'ERP account codes'!$A$5:$C$273,3,FALSE),"CHECK CODE"))</x:f>
      </x:c>
      <x:c r="D271" s="8" t="str"/>
      <x:c r="E271" s="11"/>
      <x:c r="F271" s="11"/>
      <x:c r="G271"/>
      <x:c r="H271"/>
      <x:c r="I271"/>
    </x:row>
    <x:row r="272">
      <x:c r="A272" s="8" t="str"/>
      <x:c r="B272" s="6" t="str"/>
      <x:c r="C272" s="9" t="str">
        <x:f>IF(D272="","",IFERROR(VLOOKUP(D272,'ERP account codes'!$A$5:$C$273,3,FALSE),"CHECK CODE"))</x:f>
      </x:c>
      <x:c r="D272" s="8" t="str"/>
      <x:c r="E272" s="11"/>
      <x:c r="F272" s="11"/>
      <x:c r="G272"/>
      <x:c r="H272"/>
      <x:c r="I272"/>
    </x:row>
    <x:row r="273">
      <x:c r="A273" s="8" t="str"/>
      <x:c r="B273" s="6" t="str"/>
      <x:c r="C273" s="9" t="str">
        <x:f>IF(D273="","",IFERROR(VLOOKUP(D273,'ERP account codes'!$A$5:$C$273,3,FALSE),"CHECK CODE"))</x:f>
      </x:c>
      <x:c r="D273" s="8" t="str"/>
      <x:c r="E273" s="11"/>
      <x:c r="F273" s="11"/>
      <x:c r="G273"/>
      <x:c r="H273"/>
      <x:c r="I273"/>
    </x:row>
    <x:row r="274">
      <x:c r="A274" s="8" t="str"/>
      <x:c r="B274" s="6" t="str"/>
      <x:c r="C274" s="9" t="str">
        <x:f>IF(D274="","",IFERROR(VLOOKUP(D274,'ERP account codes'!$A$5:$C$273,3,FALSE),"CHECK CODE"))</x:f>
      </x:c>
      <x:c r="D274" s="8" t="str"/>
      <x:c r="E274" s="11"/>
      <x:c r="F274" s="11"/>
      <x:c r="G274"/>
      <x:c r="H274"/>
      <x:c r="I274"/>
    </x:row>
    <x:row r="275">
      <x:c r="A275" s="8" t="str"/>
      <x:c r="B275" s="6" t="str"/>
      <x:c r="C275" s="9" t="str">
        <x:f>IF(D275="","",IFERROR(VLOOKUP(D275,'ERP account codes'!$A$5:$C$273,3,FALSE),"CHECK CODE"))</x:f>
      </x:c>
      <x:c r="D275" s="8" t="str"/>
      <x:c r="E275" s="11"/>
      <x:c r="F275" s="11"/>
      <x:c r="G275"/>
      <x:c r="H275"/>
      <x:c r="I275"/>
    </x:row>
    <x:row r="276">
      <x:c r="A276" s="8" t="str"/>
      <x:c r="B276" s="6" t="str"/>
      <x:c r="C276" s="9" t="str">
        <x:f>IF(D276="","",IFERROR(VLOOKUP(D276,'ERP account codes'!$A$5:$C$273,3,FALSE),"CHECK CODE"))</x:f>
      </x:c>
      <x:c r="D276" s="8" t="str"/>
      <x:c r="E276" s="11"/>
      <x:c r="F276" s="11"/>
      <x:c r="G276"/>
      <x:c r="H276"/>
      <x:c r="I276"/>
    </x:row>
    <x:row r="277">
      <x:c r="A277" s="8" t="str"/>
      <x:c r="B277" s="6" t="str"/>
      <x:c r="C277" s="9" t="str">
        <x:f>IF(D277="","",IFERROR(VLOOKUP(D277,'ERP account codes'!$A$5:$C$273,3,FALSE),"CHECK CODE"))</x:f>
      </x:c>
      <x:c r="D277" s="8" t="str"/>
      <x:c r="E277" s="11"/>
      <x:c r="F277" s="11"/>
      <x:c r="G277"/>
      <x:c r="H277"/>
      <x:c r="I277"/>
    </x:row>
    <x:row r="278">
      <x:c r="A278" s="8" t="str"/>
      <x:c r="B278" s="6" t="str"/>
      <x:c r="C278" s="9" t="str">
        <x:f>IF(D278="","",IFERROR(VLOOKUP(D278,'ERP account codes'!$A$5:$C$273,3,FALSE),"CHECK CODE"))</x:f>
      </x:c>
      <x:c r="D278" s="8" t="str"/>
      <x:c r="E278" s="11"/>
      <x:c r="F278" s="11"/>
      <x:c r="G278"/>
      <x:c r="H278"/>
      <x:c r="I278"/>
    </x:row>
    <x:row r="279">
      <x:c r="A279" s="8" t="str"/>
      <x:c r="B279" s="6" t="str"/>
      <x:c r="C279" s="9" t="str">
        <x:f>IF(D279="","",IFERROR(VLOOKUP(D279,'ERP account codes'!$A$5:$C$273,3,FALSE),"CHECK CODE"))</x:f>
      </x:c>
      <x:c r="D279" s="8" t="str"/>
      <x:c r="E279" s="11"/>
      <x:c r="F279" s="11"/>
      <x:c r="G279"/>
      <x:c r="H279"/>
      <x:c r="I279"/>
    </x:row>
    <x:row r="280">
      <x:c r="A280" s="8" t="str"/>
      <x:c r="B280" s="6" t="str"/>
      <x:c r="C280" s="9" t="str">
        <x:f>IF(D280="","",IFERROR(VLOOKUP(D280,'ERP account codes'!$A$5:$C$273,3,FALSE),"CHECK CODE"))</x:f>
      </x:c>
      <x:c r="D280" s="8" t="str"/>
      <x:c r="E280" s="11"/>
      <x:c r="F280" s="11"/>
      <x:c r="G280"/>
      <x:c r="H280"/>
      <x:c r="I280"/>
    </x:row>
    <x:row r="281">
      <x:c r="A281" s="8" t="str"/>
      <x:c r="B281" s="6" t="str"/>
      <x:c r="C281" s="9" t="str">
        <x:f>IF(D281="","",IFERROR(VLOOKUP(D281,'ERP account codes'!$A$5:$C$273,3,FALSE),"CHECK CODE"))</x:f>
      </x:c>
      <x:c r="D281" s="8" t="str"/>
      <x:c r="E281" s="11"/>
      <x:c r="F281" s="11"/>
      <x:c r="G281"/>
      <x:c r="H281"/>
      <x:c r="I281"/>
    </x:row>
    <x:row r="282">
      <x:c r="A282" s="8" t="str"/>
      <x:c r="B282" s="6" t="str"/>
      <x:c r="C282" s="9" t="str">
        <x:f>IF(D282="","",IFERROR(VLOOKUP(D282,'ERP account codes'!$A$5:$C$273,3,FALSE),"CHECK CODE"))</x:f>
      </x:c>
      <x:c r="D282" s="8" t="str"/>
      <x:c r="E282" s="11"/>
      <x:c r="F282" s="11"/>
      <x:c r="G282"/>
      <x:c r="H282"/>
      <x:c r="I282"/>
    </x:row>
    <x:row r="283">
      <x:c r="A283" s="8" t="str"/>
      <x:c r="B283" s="6" t="str"/>
      <x:c r="C283" s="9" t="str">
        <x:f>IF(D283="","",IFERROR(VLOOKUP(D283,'ERP account codes'!$A$5:$C$273,3,FALSE),"CHECK CODE"))</x:f>
      </x:c>
      <x:c r="D283" s="8" t="str"/>
      <x:c r="E283" s="11"/>
      <x:c r="F283" s="11"/>
      <x:c r="G283"/>
      <x:c r="H283"/>
      <x:c r="I283"/>
    </x:row>
    <x:row r="284">
      <x:c r="A284" s="8" t="str"/>
      <x:c r="B284" s="6" t="str"/>
      <x:c r="C284" s="9" t="str">
        <x:f>IF(D284="","",IFERROR(VLOOKUP(D284,'ERP account codes'!$A$5:$C$273,3,FALSE),"CHECK CODE"))</x:f>
      </x:c>
      <x:c r="D284" s="8" t="str"/>
      <x:c r="E284" s="11"/>
      <x:c r="F284" s="11"/>
      <x:c r="G284"/>
      <x:c r="H284"/>
      <x:c r="I284"/>
    </x:row>
    <x:row r="285">
      <x:c r="A285" s="8" t="str"/>
      <x:c r="B285" s="6" t="str"/>
      <x:c r="C285" s="9" t="str">
        <x:f>IF(D285="","",IFERROR(VLOOKUP(D285,'ERP account codes'!$A$5:$C$273,3,FALSE),"CHECK CODE"))</x:f>
      </x:c>
      <x:c r="D285" s="8" t="str"/>
      <x:c r="E285" s="11"/>
      <x:c r="F285" s="11"/>
      <x:c r="G285"/>
      <x:c r="H285"/>
      <x:c r="I285"/>
    </x:row>
    <x:row r="286">
      <x:c r="A286" s="8" t="str"/>
      <x:c r="B286" s="6" t="str"/>
      <x:c r="C286" s="9" t="str">
        <x:f>IF(D286="","",IFERROR(VLOOKUP(D286,'ERP account codes'!$A$5:$C$273,3,FALSE),"CHECK CODE"))</x:f>
      </x:c>
      <x:c r="D286" s="8" t="str"/>
      <x:c r="E286" s="11"/>
      <x:c r="F286" s="11"/>
      <x:c r="G286"/>
      <x:c r="H286"/>
      <x:c r="I286"/>
    </x:row>
    <x:row r="287">
      <x:c r="A287" s="8" t="str"/>
      <x:c r="B287" s="6" t="str"/>
      <x:c r="C287" s="9" t="str">
        <x:f>IF(D287="","",IFERROR(VLOOKUP(D287,'ERP account codes'!$A$5:$C$273,3,FALSE),"CHECK CODE"))</x:f>
      </x:c>
      <x:c r="D287" s="8" t="str"/>
      <x:c r="E287" s="11"/>
      <x:c r="F287" s="11"/>
      <x:c r="G287"/>
      <x:c r="H287"/>
      <x:c r="I287"/>
    </x:row>
    <x:row r="288">
      <x:c r="A288" s="8" t="str"/>
      <x:c r="B288" s="6" t="str"/>
      <x:c r="C288" s="9" t="str">
        <x:f>IF(D288="","",IFERROR(VLOOKUP(D288,'ERP account codes'!$A$5:$C$273,3,FALSE),"CHECK CODE"))</x:f>
      </x:c>
      <x:c r="D288" s="8" t="str"/>
      <x:c r="E288" s="11"/>
      <x:c r="F288" s="11"/>
      <x:c r="G288"/>
      <x:c r="H288"/>
      <x:c r="I288"/>
    </x:row>
    <x:row r="289">
      <x:c r="A289" s="8" t="str"/>
      <x:c r="B289" s="6" t="str"/>
      <x:c r="C289" s="9" t="str">
        <x:f>IF(D289="","",IFERROR(VLOOKUP(D289,'ERP account codes'!$A$5:$C$273,3,FALSE),"CHECK CODE"))</x:f>
      </x:c>
      <x:c r="D289" s="8" t="str"/>
      <x:c r="E289" s="11"/>
      <x:c r="F289" s="11"/>
      <x:c r="G289"/>
      <x:c r="H289"/>
      <x:c r="I289"/>
    </x:row>
    <x:row r="290">
      <x:c r="A290" s="8" t="str"/>
      <x:c r="B290" s="6" t="str"/>
      <x:c r="C290" s="9" t="str">
        <x:f>IF(D290="","",IFERROR(VLOOKUP(D290,'ERP account codes'!$A$5:$C$273,3,FALSE),"CHECK CODE"))</x:f>
      </x:c>
      <x:c r="D290" s="8" t="str"/>
      <x:c r="E290" s="11"/>
      <x:c r="F290" s="11"/>
      <x:c r="G290"/>
      <x:c r="H290"/>
      <x:c r="I290"/>
    </x:row>
    <x:row r="291">
      <x:c r="A291" s="8" t="str"/>
      <x:c r="B291" s="6" t="str"/>
      <x:c r="C291" s="9" t="str">
        <x:f>IF(D291="","",IFERROR(VLOOKUP(D291,'ERP account codes'!$A$5:$C$273,3,FALSE),"CHECK CODE"))</x:f>
      </x:c>
      <x:c r="D291" s="8" t="str"/>
      <x:c r="E291" s="11"/>
      <x:c r="F291" s="11"/>
      <x:c r="G291"/>
      <x:c r="H291"/>
      <x:c r="I291"/>
    </x:row>
    <x:row r="292">
      <x:c r="A292" s="8" t="str"/>
      <x:c r="B292" s="6" t="str"/>
      <x:c r="C292" s="9" t="str">
        <x:f>IF(D292="","",IFERROR(VLOOKUP(D292,'ERP account codes'!$A$5:$C$273,3,FALSE),"CHECK CODE"))</x:f>
      </x:c>
      <x:c r="D292" s="8" t="str"/>
      <x:c r="E292" s="11"/>
      <x:c r="F292" s="11"/>
      <x:c r="G292"/>
      <x:c r="H292"/>
      <x:c r="I292"/>
    </x:row>
    <x:row r="293">
      <x:c r="A293" s="8" t="str"/>
      <x:c r="B293" s="6" t="str"/>
      <x:c r="C293" s="9" t="str">
        <x:f>IF(D293="","",IFERROR(VLOOKUP(D293,'ERP account codes'!$A$5:$C$273,3,FALSE),"CHECK CODE"))</x:f>
      </x:c>
      <x:c r="D293" s="8" t="str"/>
      <x:c r="E293" s="11"/>
      <x:c r="F293" s="11"/>
      <x:c r="G293"/>
      <x:c r="H293"/>
      <x:c r="I293"/>
    </x:row>
    <x:row r="294">
      <x:c r="A294" s="8" t="str"/>
      <x:c r="B294" s="6" t="str"/>
      <x:c r="C294" s="9" t="str">
        <x:f>IF(D294="","",IFERROR(VLOOKUP(D294,'ERP account codes'!$A$5:$C$273,3,FALSE),"CHECK CODE"))</x:f>
      </x:c>
      <x:c r="D294" s="8" t="str"/>
      <x:c r="E294" s="11"/>
      <x:c r="F294" s="11"/>
      <x:c r="G294"/>
      <x:c r="H294"/>
      <x:c r="I294"/>
    </x:row>
    <x:row r="295">
      <x:c r="A295" s="8" t="str"/>
      <x:c r="B295" s="6" t="str"/>
      <x:c r="C295" s="9" t="str">
        <x:f>IF(D295="","",IFERROR(VLOOKUP(D295,'ERP account codes'!$A$5:$C$273,3,FALSE),"CHECK CODE"))</x:f>
      </x:c>
      <x:c r="D295" s="8" t="str"/>
      <x:c r="E295" s="11"/>
      <x:c r="F295" s="11"/>
      <x:c r="G295"/>
      <x:c r="H295"/>
      <x:c r="I295"/>
    </x:row>
    <x:row r="296">
      <x:c r="A296" s="8" t="str"/>
      <x:c r="B296" s="6" t="str"/>
      <x:c r="C296" s="9" t="str">
        <x:f>IF(D296="","",IFERROR(VLOOKUP(D296,'ERP account codes'!$A$5:$C$273,3,FALSE),"CHECK CODE"))</x:f>
      </x:c>
      <x:c r="D296" s="8" t="str"/>
      <x:c r="E296" s="11"/>
      <x:c r="F296" s="11"/>
      <x:c r="G296"/>
      <x:c r="H296"/>
      <x:c r="I296"/>
    </x:row>
    <x:row r="297">
      <x:c r="A297" s="8" t="str"/>
      <x:c r="B297" s="6" t="str"/>
      <x:c r="C297" s="9" t="str">
        <x:f>IF(D297="","",IFERROR(VLOOKUP(D297,'ERP account codes'!$A$5:$C$273,3,FALSE),"CHECK CODE"))</x:f>
      </x:c>
      <x:c r="D297" s="8" t="str"/>
      <x:c r="E297" s="11"/>
      <x:c r="F297" s="11"/>
      <x:c r="G297"/>
      <x:c r="H297"/>
      <x:c r="I297"/>
    </x:row>
    <x:row r="298">
      <x:c r="A298" s="8" t="str"/>
      <x:c r="B298" s="6" t="str"/>
      <x:c r="C298" s="9" t="str">
        <x:f>IF(D298="","",IFERROR(VLOOKUP(D298,'ERP account codes'!$A$5:$C$273,3,FALSE),"CHECK CODE"))</x:f>
      </x:c>
      <x:c r="D298" s="8" t="str"/>
      <x:c r="E298" s="11"/>
      <x:c r="F298" s="11"/>
      <x:c r="G298"/>
      <x:c r="H298"/>
      <x:c r="I298"/>
    </x:row>
    <x:row r="299">
      <x:c r="A299" s="8" t="str"/>
      <x:c r="B299" s="6" t="str"/>
      <x:c r="C299" s="9" t="str">
        <x:f>IF(D299="","",IFERROR(VLOOKUP(D299,'ERP account codes'!$A$5:$C$273,3,FALSE),"CHECK CODE"))</x:f>
      </x:c>
      <x:c r="D299" s="8" t="str"/>
      <x:c r="E299" s="11"/>
      <x:c r="F299" s="11"/>
      <x:c r="G299"/>
      <x:c r="H299"/>
      <x:c r="I299"/>
    </x:row>
    <x:row r="300">
      <x:c r="A300" s="8" t="str"/>
      <x:c r="B300" s="6" t="str"/>
      <x:c r="C300" s="9" t="str">
        <x:f>IF(D300="","",IFERROR(VLOOKUP(D300,'ERP account codes'!$A$5:$C$273,3,FALSE),"CHECK CODE"))</x:f>
      </x:c>
      <x:c r="D300" s="8" t="str"/>
      <x:c r="E300" s="11"/>
      <x:c r="F300" s="11"/>
      <x:c r="G300"/>
      <x:c r="H300"/>
      <x:c r="I300"/>
    </x:row>
    <x:row r="301">
      <x:c r="A301" s="8" t="str"/>
      <x:c r="B301" s="6" t="str"/>
      <x:c r="C301" s="9" t="str">
        <x:f>IF(D301="","",IFERROR(VLOOKUP(D301,'ERP account codes'!$A$5:$C$273,3,FALSE),"CHECK CODE"))</x:f>
      </x:c>
      <x:c r="D301" s="8" t="str"/>
      <x:c r="E301" s="11"/>
      <x:c r="F301" s="11"/>
      <x:c r="G301"/>
      <x:c r="H301"/>
      <x:c r="I301"/>
    </x:row>
    <x:row r="302">
      <x:c r="A302" s="8" t="str"/>
      <x:c r="B302" s="6" t="str"/>
      <x:c r="C302" s="9" t="str">
        <x:f>IF(D302="","",IFERROR(VLOOKUP(D302,'ERP account codes'!$A$5:$C$273,3,FALSE),"CHECK CODE"))</x:f>
      </x:c>
      <x:c r="D302" s="8" t="str"/>
      <x:c r="E302" s="11"/>
      <x:c r="F302" s="11"/>
      <x:c r="G302"/>
      <x:c r="H302"/>
      <x:c r="I302"/>
    </x:row>
    <x:row r="303">
      <x:c r="A303" s="8" t="str"/>
      <x:c r="B303" s="6" t="str"/>
      <x:c r="C303" s="9" t="str">
        <x:f>IF(D303="","",IFERROR(VLOOKUP(D303,'ERP account codes'!$A$5:$C$273,3,FALSE),"CHECK CODE"))</x:f>
      </x:c>
      <x:c r="D303" s="8" t="str"/>
      <x:c r="E303" s="11"/>
      <x:c r="F303" s="11"/>
      <x:c r="G303"/>
      <x:c r="H303"/>
      <x:c r="I303"/>
    </x:row>
    <x:row r="304">
      <x:c r="A304" s="8" t="str"/>
      <x:c r="B304" s="6" t="str"/>
      <x:c r="C304" s="9" t="str">
        <x:f>IF(D304="","",IFERROR(VLOOKUP(D304,'ERP account codes'!$A$5:$C$273,3,FALSE),"CHECK CODE"))</x:f>
      </x:c>
      <x:c r="D304" s="8" t="str"/>
      <x:c r="E304" s="11"/>
      <x:c r="F304" s="11"/>
      <x:c r="G304"/>
      <x:c r="H304"/>
      <x:c r="I304"/>
    </x:row>
    <x:row r="305">
      <x:c r="A305" s="8" t="str"/>
      <x:c r="B305" s="6" t="str"/>
      <x:c r="C305" s="9" t="str">
        <x:f>IF(D305="","",IFERROR(VLOOKUP(D305,'ERP account codes'!$A$5:$C$273,3,FALSE),"CHECK CODE"))</x:f>
      </x:c>
      <x:c r="D305" s="8" t="str"/>
      <x:c r="E305" s="11"/>
      <x:c r="F305" s="11"/>
      <x:c r="G305"/>
      <x:c r="H305"/>
      <x:c r="I305"/>
    </x:row>
    <x:row r="306">
      <x:c r="A306" s="8" t="str"/>
      <x:c r="B306" s="6" t="str"/>
      <x:c r="C306" s="9" t="str">
        <x:f>IF(D306="","",IFERROR(VLOOKUP(D306,'ERP account codes'!$A$5:$C$273,3,FALSE),"CHECK CODE"))</x:f>
      </x:c>
      <x:c r="D306" s="8" t="str"/>
      <x:c r="E306" s="11"/>
      <x:c r="F306" s="11"/>
      <x:c r="G306"/>
      <x:c r="H306"/>
      <x:c r="I306"/>
    </x:row>
    <x:row r="307">
      <x:c r="A307" s="8" t="str"/>
      <x:c r="B307" s="6" t="str"/>
      <x:c r="C307" s="9" t="str">
        <x:f>IF(D307="","",IFERROR(VLOOKUP(D307,'ERP account codes'!$A$5:$C$273,3,FALSE),"CHECK CODE"))</x:f>
      </x:c>
      <x:c r="D307" s="8" t="str"/>
      <x:c r="E307" s="11"/>
      <x:c r="F307" s="11"/>
      <x:c r="G307"/>
      <x:c r="H307"/>
      <x:c r="I307"/>
    </x:row>
    <x:row r="308">
      <x:c r="A308" s="8" t="str"/>
      <x:c r="B308" s="6" t="str"/>
      <x:c r="C308" s="9" t="str">
        <x:f>IF(D308="","",IFERROR(VLOOKUP(D308,'ERP account codes'!$A$5:$C$273,3,FALSE),"CHECK CODE"))</x:f>
      </x:c>
      <x:c r="D308" s="8" t="str"/>
      <x:c r="E308" s="11"/>
      <x:c r="F308" s="11"/>
      <x:c r="G308"/>
      <x:c r="H308"/>
      <x:c r="I308"/>
    </x:row>
    <x:row r="309">
      <x:c r="A309" s="8" t="str"/>
      <x:c r="B309" s="6" t="str"/>
      <x:c r="C309" s="9" t="str">
        <x:f>IF(D309="","",IFERROR(VLOOKUP(D309,'ERP account codes'!$A$5:$C$273,3,FALSE),"CHECK CODE"))</x:f>
      </x:c>
      <x:c r="D309" s="8" t="str"/>
      <x:c r="E309" s="11"/>
      <x:c r="F309" s="11"/>
      <x:c r="G309"/>
      <x:c r="H309"/>
      <x:c r="I309"/>
    </x:row>
    <x:row r="310">
      <x:c r="A310" s="8" t="str"/>
      <x:c r="B310" s="6" t="str"/>
      <x:c r="C310" s="9" t="str">
        <x:f>IF(D310="","",IFERROR(VLOOKUP(D310,'ERP account codes'!$A$5:$C$273,3,FALSE),"CHECK CODE"))</x:f>
      </x:c>
      <x:c r="D310" s="8" t="str"/>
      <x:c r="E310" s="11"/>
      <x:c r="F310" s="11"/>
      <x:c r="G310"/>
      <x:c r="H310"/>
      <x:c r="I310"/>
    </x:row>
    <x:row r="311">
      <x:c r="A311" s="8" t="str"/>
      <x:c r="B311" s="6" t="str"/>
      <x:c r="C311" s="9" t="str">
        <x:f>IF(D311="","",IFERROR(VLOOKUP(D311,'ERP account codes'!$A$5:$C$273,3,FALSE),"CHECK CODE"))</x:f>
      </x:c>
      <x:c r="D311" s="8" t="str"/>
      <x:c r="E311" s="11"/>
      <x:c r="F311" s="11"/>
      <x:c r="G311"/>
      <x:c r="H311"/>
      <x:c r="I311"/>
    </x:row>
    <x:row r="312">
      <x:c r="A312" s="8" t="str"/>
      <x:c r="B312" s="6" t="str"/>
      <x:c r="C312" s="9" t="str">
        <x:f>IF(D312="","",IFERROR(VLOOKUP(D312,'ERP account codes'!$A$5:$C$273,3,FALSE),"CHECK CODE"))</x:f>
      </x:c>
      <x:c r="D312" s="8" t="str"/>
      <x:c r="E312" s="11"/>
      <x:c r="F312" s="11"/>
      <x:c r="G312"/>
      <x:c r="H312"/>
      <x:c r="I312"/>
    </x:row>
    <x:row r="313">
      <x:c r="A313" s="8" t="str"/>
      <x:c r="B313" s="6" t="str"/>
      <x:c r="C313" s="9" t="str">
        <x:f>IF(D313="","",IFERROR(VLOOKUP(D313,'ERP account codes'!$A$5:$C$273,3,FALSE),"CHECK CODE"))</x:f>
      </x:c>
      <x:c r="D313" s="8" t="str"/>
      <x:c r="E313" s="11"/>
      <x:c r="F313" s="11"/>
      <x:c r="G313"/>
      <x:c r="H313"/>
      <x:c r="I313"/>
    </x:row>
    <x:row r="314">
      <x:c r="A314" s="8" t="str"/>
      <x:c r="B314" s="6" t="str"/>
      <x:c r="C314" s="9" t="str">
        <x:f>IF(D314="","",IFERROR(VLOOKUP(D314,'ERP account codes'!$A$5:$C$273,3,FALSE),"CHECK CODE"))</x:f>
      </x:c>
      <x:c r="D314" s="8" t="str"/>
      <x:c r="E314" s="11"/>
      <x:c r="F314" s="11"/>
      <x:c r="G314"/>
      <x:c r="H314"/>
      <x:c r="I314"/>
    </x:row>
    <x:row r="315">
      <x:c r="A315" s="8" t="str"/>
      <x:c r="B315" s="6" t="str"/>
      <x:c r="C315" s="9" t="str">
        <x:f>IF(D315="","",IFERROR(VLOOKUP(D315,'ERP account codes'!$A$5:$C$273,3,FALSE),"CHECK CODE"))</x:f>
      </x:c>
      <x:c r="D315" s="8" t="str"/>
      <x:c r="E315" s="11"/>
      <x:c r="F315" s="11"/>
      <x:c r="G315"/>
      <x:c r="H315"/>
      <x:c r="I315"/>
    </x:row>
    <x:row r="316">
      <x:c r="A316" s="8" t="str"/>
      <x:c r="B316" s="6" t="str"/>
      <x:c r="C316" s="9" t="str">
        <x:f>IF(D316="","",IFERROR(VLOOKUP(D316,'ERP account codes'!$A$5:$C$273,3,FALSE),"CHECK CODE"))</x:f>
      </x:c>
      <x:c r="D316" s="8" t="str"/>
      <x:c r="E316" s="11"/>
      <x:c r="F316" s="11"/>
      <x:c r="G316"/>
      <x:c r="H316"/>
      <x:c r="I316"/>
    </x:row>
    <x:row r="317">
      <x:c r="A317" s="8" t="str"/>
      <x:c r="B317" s="6" t="str"/>
      <x:c r="C317" s="9" t="str">
        <x:f>IF(D317="","",IFERROR(VLOOKUP(D317,'ERP account codes'!$A$5:$C$273,3,FALSE),"CHECK CODE"))</x:f>
      </x:c>
      <x:c r="D317" s="8" t="str"/>
      <x:c r="E317" s="11"/>
      <x:c r="F317" s="11"/>
      <x:c r="G317"/>
      <x:c r="H317"/>
      <x:c r="I317"/>
    </x:row>
    <x:row r="318">
      <x:c r="A318" s="8" t="str"/>
      <x:c r="B318" s="6" t="str"/>
      <x:c r="C318" s="9" t="str">
        <x:f>IF(D318="","",IFERROR(VLOOKUP(D318,'ERP account codes'!$A$5:$C$273,3,FALSE),"CHECK CODE"))</x:f>
      </x:c>
      <x:c r="D318" s="8" t="str"/>
      <x:c r="E318" s="11"/>
      <x:c r="F318" s="11"/>
      <x:c r="G318"/>
      <x:c r="H318"/>
      <x:c r="I318"/>
    </x:row>
    <x:row r="319">
      <x:c r="A319" s="8" t="str"/>
      <x:c r="B319" s="6" t="str"/>
      <x:c r="C319" s="9" t="str">
        <x:f>IF(D319="","",IFERROR(VLOOKUP(D319,'ERP account codes'!$A$5:$C$273,3,FALSE),"CHECK CODE"))</x:f>
      </x:c>
      <x:c r="D319" s="8" t="str"/>
      <x:c r="E319" s="11"/>
      <x:c r="F319" s="11"/>
      <x:c r="G319"/>
      <x:c r="H319"/>
      <x:c r="I319"/>
    </x:row>
    <x:row r="320">
      <x:c r="A320" s="8" t="str"/>
      <x:c r="B320" s="6" t="str"/>
      <x:c r="C320" s="9" t="str">
        <x:f>IF(D320="","",IFERROR(VLOOKUP(D320,'ERP account codes'!$A$5:$C$273,3,FALSE),"CHECK CODE"))</x:f>
      </x:c>
      <x:c r="D320" s="8" t="str"/>
      <x:c r="E320" s="11"/>
      <x:c r="F320" s="11"/>
      <x:c r="G320"/>
      <x:c r="H320"/>
      <x:c r="I320"/>
    </x:row>
    <x:row r="321">
      <x:c r="A321" s="8" t="str"/>
      <x:c r="B321" s="6" t="str"/>
      <x:c r="C321" s="9" t="str">
        <x:f>IF(D321="","",IFERROR(VLOOKUP(D321,'ERP account codes'!$A$5:$C$273,3,FALSE),"CHECK CODE"))</x:f>
      </x:c>
      <x:c r="D321" s="8" t="str"/>
      <x:c r="E321" s="11"/>
      <x:c r="F321" s="11"/>
      <x:c r="G321"/>
      <x:c r="H321"/>
      <x:c r="I321"/>
    </x:row>
    <x:row r="322">
      <x:c r="A322" s="8" t="str"/>
      <x:c r="B322" s="6" t="str"/>
      <x:c r="C322" s="9" t="str">
        <x:f>IF(D322="","",IFERROR(VLOOKUP(D322,'ERP account codes'!$A$5:$C$273,3,FALSE),"CHECK CODE"))</x:f>
      </x:c>
      <x:c r="D322" s="8" t="str"/>
      <x:c r="E322" s="11"/>
      <x:c r="F322" s="11"/>
      <x:c r="G322"/>
      <x:c r="H322"/>
      <x:c r="I322"/>
    </x:row>
    <x:row r="323">
      <x:c r="A323" s="8" t="str"/>
      <x:c r="B323" s="6" t="str"/>
      <x:c r="C323" s="9" t="str">
        <x:f>IF(D323="","",IFERROR(VLOOKUP(D323,'ERP account codes'!$A$5:$C$273,3,FALSE),"CHECK CODE"))</x:f>
      </x:c>
      <x:c r="D323" s="8" t="str"/>
      <x:c r="E323" s="11"/>
      <x:c r="F323" s="11"/>
      <x:c r="G323"/>
      <x:c r="H323"/>
      <x:c r="I323"/>
    </x:row>
    <x:row r="324">
      <x:c r="A324" s="8" t="str"/>
      <x:c r="B324" s="6" t="str"/>
      <x:c r="C324" s="9" t="str">
        <x:f>IF(D324="","",IFERROR(VLOOKUP(D324,'ERP account codes'!$A$5:$C$273,3,FALSE),"CHECK CODE"))</x:f>
      </x:c>
      <x:c r="D324" s="8" t="str"/>
      <x:c r="E324" s="11"/>
      <x:c r="F324" s="11"/>
      <x:c r="G324"/>
      <x:c r="H324"/>
      <x:c r="I324"/>
    </x:row>
    <x:row r="325">
      <x:c r="A325" s="8" t="str"/>
      <x:c r="B325" s="6" t="str"/>
      <x:c r="C325" s="9" t="str">
        <x:f>IF(D325="","",IFERROR(VLOOKUP(D325,'ERP account codes'!$A$5:$C$273,3,FALSE),"CHECK CODE"))</x:f>
      </x:c>
      <x:c r="D325" s="8" t="str"/>
      <x:c r="E325" s="11"/>
      <x:c r="F325" s="11"/>
      <x:c r="G325"/>
      <x:c r="H325"/>
      <x:c r="I325"/>
    </x:row>
    <x:row r="326">
      <x:c r="A326" s="8" t="str"/>
      <x:c r="B326" s="6" t="str"/>
      <x:c r="C326" s="9" t="str">
        <x:f>IF(D326="","",IFERROR(VLOOKUP(D326,'ERP account codes'!$A$5:$C$273,3,FALSE),"CHECK CODE"))</x:f>
      </x:c>
      <x:c r="D326" s="8" t="str"/>
      <x:c r="E326" s="11"/>
      <x:c r="F326" s="11"/>
      <x:c r="G326"/>
      <x:c r="H326"/>
      <x:c r="I326"/>
    </x:row>
    <x:row r="327">
      <x:c r="A327" s="8" t="str"/>
      <x:c r="B327" s="6" t="str"/>
      <x:c r="C327" s="9" t="str">
        <x:f>IF(D327="","",IFERROR(VLOOKUP(D327,'ERP account codes'!$A$5:$C$273,3,FALSE),"CHECK CODE"))</x:f>
      </x:c>
      <x:c r="D327" s="8" t="str"/>
      <x:c r="E327" s="11"/>
      <x:c r="F327" s="11"/>
      <x:c r="G327"/>
      <x:c r="H327"/>
      <x:c r="I327"/>
    </x:row>
    <x:row r="328">
      <x:c r="A328" s="8" t="str"/>
      <x:c r="B328" s="6" t="str"/>
      <x:c r="C328" s="9" t="str">
        <x:f>IF(D328="","",IFERROR(VLOOKUP(D328,'ERP account codes'!$A$5:$C$273,3,FALSE),"CHECK CODE"))</x:f>
      </x:c>
      <x:c r="D328" s="8" t="str"/>
      <x:c r="E328" s="11"/>
      <x:c r="F328" s="11"/>
      <x:c r="G328"/>
      <x:c r="H328"/>
      <x:c r="I328"/>
    </x:row>
    <x:row r="329">
      <x:c r="A329" s="8" t="str"/>
      <x:c r="B329" s="6" t="str"/>
      <x:c r="C329" s="9" t="str">
        <x:f>IF(D329="","",IFERROR(VLOOKUP(D329,'ERP account codes'!$A$5:$C$273,3,FALSE),"CHECK CODE"))</x:f>
      </x:c>
      <x:c r="D329" s="8" t="str"/>
      <x:c r="E329" s="11"/>
      <x:c r="F329" s="11"/>
      <x:c r="G329"/>
      <x:c r="H329"/>
      <x:c r="I329"/>
    </x:row>
    <x:row r="330">
      <x:c r="A330" s="8" t="str"/>
      <x:c r="B330" s="6" t="str"/>
      <x:c r="C330" s="9" t="str">
        <x:f>IF(D330="","",IFERROR(VLOOKUP(D330,'ERP account codes'!$A$5:$C$273,3,FALSE),"CHECK CODE"))</x:f>
      </x:c>
      <x:c r="D330" s="8" t="str"/>
      <x:c r="E330" s="11"/>
      <x:c r="F330" s="11"/>
      <x:c r="G330"/>
      <x:c r="H330"/>
      <x:c r="I330"/>
    </x:row>
    <x:row r="331">
      <x:c r="A331" s="8" t="str"/>
      <x:c r="B331" s="6" t="str"/>
      <x:c r="C331" s="9" t="str">
        <x:f>IF(D331="","",IFERROR(VLOOKUP(D331,'ERP account codes'!$A$5:$C$273,3,FALSE),"CHECK CODE"))</x:f>
      </x:c>
      <x:c r="D331" s="8" t="str"/>
      <x:c r="E331" s="11"/>
      <x:c r="F331" s="11"/>
      <x:c r="G331"/>
      <x:c r="H331"/>
      <x:c r="I331"/>
    </x:row>
    <x:row r="332">
      <x:c r="A332" s="8" t="str"/>
      <x:c r="B332" s="6" t="str"/>
      <x:c r="C332" s="9" t="str">
        <x:f>IF(D332="","",IFERROR(VLOOKUP(D332,'ERP account codes'!$A$5:$C$273,3,FALSE),"CHECK CODE"))</x:f>
      </x:c>
      <x:c r="D332" s="8" t="str"/>
      <x:c r="E332" s="11"/>
      <x:c r="F332" s="11"/>
      <x:c r="G332"/>
      <x:c r="H332"/>
      <x:c r="I332"/>
    </x:row>
    <x:row r="333">
      <x:c r="A333" s="8" t="str"/>
      <x:c r="B333" s="6" t="str"/>
      <x:c r="C333" s="9" t="str">
        <x:f>IF(D333="","",IFERROR(VLOOKUP(D333,'ERP account codes'!$A$5:$C$273,3,FALSE),"CHECK CODE"))</x:f>
      </x:c>
      <x:c r="D333" s="8" t="str"/>
      <x:c r="E333" s="11"/>
      <x:c r="F333" s="11"/>
      <x:c r="G333"/>
      <x:c r="H333"/>
      <x:c r="I333"/>
    </x:row>
    <x:row r="334">
      <x:c r="A334" s="8" t="str"/>
      <x:c r="B334" s="6" t="str"/>
      <x:c r="C334" s="9" t="str">
        <x:f>IF(D334="","",IFERROR(VLOOKUP(D334,'ERP account codes'!$A$5:$C$273,3,FALSE),"CHECK CODE"))</x:f>
      </x:c>
      <x:c r="D334" s="8" t="str"/>
      <x:c r="E334" s="11"/>
      <x:c r="F334" s="11"/>
      <x:c r="G334"/>
      <x:c r="H334"/>
      <x:c r="I334"/>
    </x:row>
    <x:row r="335">
      <x:c r="A335" s="8" t="str"/>
      <x:c r="B335" s="6" t="str"/>
      <x:c r="C335" s="9" t="str">
        <x:f>IF(D335="","",IFERROR(VLOOKUP(D335,'ERP account codes'!$A$5:$C$273,3,FALSE),"CHECK CODE"))</x:f>
      </x:c>
      <x:c r="D335" s="8" t="str"/>
      <x:c r="E335" s="11"/>
      <x:c r="F335" s="11"/>
      <x:c r="G335"/>
      <x:c r="H335"/>
      <x:c r="I335"/>
    </x:row>
    <x:row r="336">
      <x:c r="A336" s="8" t="str"/>
      <x:c r="B336" s="6" t="str"/>
      <x:c r="C336" s="9" t="str">
        <x:f>IF(D336="","",IFERROR(VLOOKUP(D336,'ERP account codes'!$A$5:$C$273,3,FALSE),"CHECK CODE"))</x:f>
      </x:c>
      <x:c r="D336" s="8" t="str"/>
      <x:c r="E336" s="11"/>
      <x:c r="F336" s="11"/>
      <x:c r="G336"/>
      <x:c r="H336"/>
      <x:c r="I336"/>
    </x:row>
    <x:row r="337">
      <x:c r="A337" s="8" t="str"/>
      <x:c r="B337" s="6" t="str"/>
      <x:c r="C337" s="9" t="str">
        <x:f>IF(D337="","",IFERROR(VLOOKUP(D337,'ERP account codes'!$A$5:$C$273,3,FALSE),"CHECK CODE"))</x:f>
      </x:c>
      <x:c r="D337" s="8" t="str"/>
      <x:c r="E337" s="11"/>
      <x:c r="F337" s="11"/>
      <x:c r="G337"/>
      <x:c r="H337"/>
      <x:c r="I337"/>
    </x:row>
    <x:row r="338">
      <x:c r="A338" s="8" t="str"/>
      <x:c r="B338" s="6" t="str"/>
      <x:c r="C338" s="9" t="str">
        <x:f>IF(D338="","",IFERROR(VLOOKUP(D338,'ERP account codes'!$A$5:$C$273,3,FALSE),"CHECK CODE"))</x:f>
      </x:c>
      <x:c r="D338" s="8" t="str"/>
      <x:c r="E338" s="11"/>
      <x:c r="F338" s="11"/>
      <x:c r="G338"/>
      <x:c r="H338"/>
      <x:c r="I338"/>
    </x:row>
    <x:row r="339">
      <x:c r="A339" s="8" t="str"/>
      <x:c r="B339" s="6" t="str"/>
      <x:c r="C339" s="9" t="str">
        <x:f>IF(D339="","",IFERROR(VLOOKUP(D339,'ERP account codes'!$A$5:$C$273,3,FALSE),"CHECK CODE"))</x:f>
      </x:c>
      <x:c r="D339" s="8" t="str"/>
      <x:c r="E339" s="11"/>
      <x:c r="F339" s="11"/>
      <x:c r="G339"/>
      <x:c r="H339"/>
      <x:c r="I339"/>
    </x:row>
    <x:row r="340">
      <x:c r="A340" s="8" t="str"/>
      <x:c r="B340" s="6" t="str"/>
      <x:c r="C340" s="9" t="str">
        <x:f>IF(D340="","",IFERROR(VLOOKUP(D340,'ERP account codes'!$A$5:$C$273,3,FALSE),"CHECK CODE"))</x:f>
      </x:c>
      <x:c r="D340" s="8" t="str"/>
      <x:c r="E340" s="11"/>
      <x:c r="F340" s="11"/>
      <x:c r="G340"/>
      <x:c r="H340"/>
      <x:c r="I340"/>
    </x:row>
    <x:row r="341">
      <x:c r="A341" s="8" t="str"/>
      <x:c r="B341" s="6" t="str"/>
      <x:c r="C341" s="9" t="str">
        <x:f>IF(D341="","",IFERROR(VLOOKUP(D341,'ERP account codes'!$A$5:$C$273,3,FALSE),"CHECK CODE"))</x:f>
      </x:c>
      <x:c r="D341" s="8" t="str"/>
      <x:c r="E341" s="11"/>
      <x:c r="F341" s="11"/>
      <x:c r="G341"/>
      <x:c r="H341"/>
      <x:c r="I341"/>
    </x:row>
    <x:row r="342">
      <x:c r="A342" s="8" t="str"/>
      <x:c r="B342" s="6" t="str"/>
      <x:c r="C342" s="9" t="str">
        <x:f>IF(D342="","",IFERROR(VLOOKUP(D342,'ERP account codes'!$A$5:$C$273,3,FALSE),"CHECK CODE"))</x:f>
      </x:c>
      <x:c r="D342" s="8" t="str"/>
      <x:c r="E342" s="11"/>
      <x:c r="F342" s="11"/>
      <x:c r="G342"/>
      <x:c r="H342"/>
      <x:c r="I342"/>
    </x:row>
    <x:row r="343">
      <x:c r="A343" s="8" t="str"/>
      <x:c r="B343" s="6" t="str"/>
      <x:c r="C343" s="9" t="str">
        <x:f>IF(D343="","",IFERROR(VLOOKUP(D343,'ERP account codes'!$A$5:$C$273,3,FALSE),"CHECK CODE"))</x:f>
      </x:c>
      <x:c r="D343" s="8" t="str"/>
      <x:c r="E343" s="11"/>
      <x:c r="F343" s="11"/>
      <x:c r="G343"/>
      <x:c r="H343"/>
      <x:c r="I343"/>
    </x:row>
    <x:row r="344">
      <x:c r="A344" s="8" t="str"/>
      <x:c r="B344" s="6" t="str"/>
      <x:c r="C344" s="9" t="str">
        <x:f>IF(D344="","",IFERROR(VLOOKUP(D344,'ERP account codes'!$A$5:$C$273,3,FALSE),"CHECK CODE"))</x:f>
      </x:c>
      <x:c r="D344" s="8" t="str"/>
      <x:c r="E344" s="11"/>
      <x:c r="F344" s="11"/>
      <x:c r="G344"/>
      <x:c r="H344"/>
      <x:c r="I344"/>
    </x:row>
    <x:row r="345">
      <x:c r="A345" s="8" t="str"/>
      <x:c r="B345" s="6" t="str"/>
      <x:c r="C345" s="9" t="str">
        <x:f>IF(D345="","",IFERROR(VLOOKUP(D345,'ERP account codes'!$A$5:$C$273,3,FALSE),"CHECK CODE"))</x:f>
      </x:c>
      <x:c r="D345" s="8" t="str"/>
      <x:c r="E345" s="11"/>
      <x:c r="F345" s="11"/>
      <x:c r="G345"/>
      <x:c r="H345"/>
      <x:c r="I345"/>
    </x:row>
    <x:row r="346">
      <x:c r="A346" s="8" t="str"/>
      <x:c r="B346" s="6" t="str"/>
      <x:c r="C346" s="9" t="str">
        <x:f>IF(D346="","",IFERROR(VLOOKUP(D346,'ERP account codes'!$A$5:$C$273,3,FALSE),"CHECK CODE"))</x:f>
      </x:c>
      <x:c r="D346" s="8" t="str"/>
      <x:c r="E346" s="11"/>
      <x:c r="F346" s="11"/>
      <x:c r="G346"/>
      <x:c r="H346"/>
      <x:c r="I346"/>
    </x:row>
    <x:row r="347">
      <x:c r="A347" s="8" t="str"/>
      <x:c r="B347" s="6" t="str"/>
      <x:c r="C347" s="9" t="str">
        <x:f>IF(D347="","",IFERROR(VLOOKUP(D347,'ERP account codes'!$A$5:$C$273,3,FALSE),"CHECK CODE"))</x:f>
      </x:c>
      <x:c r="D347" s="8" t="str"/>
      <x:c r="E347" s="11"/>
      <x:c r="F347" s="11"/>
      <x:c r="G347"/>
      <x:c r="H347"/>
      <x:c r="I347"/>
    </x:row>
    <x:row r="348">
      <x:c r="A348" s="8" t="str"/>
      <x:c r="B348" s="6" t="str"/>
      <x:c r="C348" s="9" t="str">
        <x:f>IF(D348="","",IFERROR(VLOOKUP(D348,'ERP account codes'!$A$5:$C$273,3,FALSE),"CHECK CODE"))</x:f>
      </x:c>
      <x:c r="D348" s="8" t="str"/>
      <x:c r="E348" s="11"/>
      <x:c r="F348" s="11"/>
      <x:c r="G348"/>
      <x:c r="H348"/>
      <x:c r="I348"/>
    </x:row>
    <x:row r="349">
      <x:c r="A349" s="8" t="str"/>
      <x:c r="B349" s="6" t="str"/>
      <x:c r="C349" s="9" t="str">
        <x:f>IF(D349="","",IFERROR(VLOOKUP(D349,'ERP account codes'!$A$5:$C$273,3,FALSE),"CHECK CODE"))</x:f>
      </x:c>
      <x:c r="D349" s="8" t="str"/>
      <x:c r="E349" s="11"/>
      <x:c r="F349" s="11"/>
      <x:c r="G349"/>
      <x:c r="H349"/>
      <x:c r="I349"/>
    </x:row>
    <x:row r="350">
      <x:c r="A350" s="8" t="str"/>
      <x:c r="B350" s="6" t="str"/>
      <x:c r="C350" s="9" t="str">
        <x:f>IF(D350="","",IFERROR(VLOOKUP(D350,'ERP account codes'!$A$5:$C$273,3,FALSE),"CHECK CODE"))</x:f>
      </x:c>
      <x:c r="D350" s="8" t="str"/>
      <x:c r="E350" s="11"/>
      <x:c r="F350" s="11"/>
      <x:c r="G350"/>
      <x:c r="H350"/>
      <x:c r="I350"/>
    </x:row>
    <x:row r="351">
      <x:c r="A351" s="8" t="str"/>
      <x:c r="B351" s="6" t="str"/>
      <x:c r="C351" s="9" t="str">
        <x:f>IF(D351="","",IFERROR(VLOOKUP(D351,'ERP account codes'!$A$5:$C$273,3,FALSE),"CHECK CODE"))</x:f>
      </x:c>
      <x:c r="D351" s="8" t="str"/>
      <x:c r="E351" s="11"/>
      <x:c r="F351" s="11"/>
      <x:c r="G351"/>
      <x:c r="H351"/>
      <x:c r="I351"/>
    </x:row>
    <x:row r="352">
      <x:c r="A352" s="8" t="str"/>
      <x:c r="B352" s="6" t="str"/>
      <x:c r="C352" s="9" t="str">
        <x:f>IF(D352="","",IFERROR(VLOOKUP(D352,'ERP account codes'!$A$5:$C$273,3,FALSE),"CHECK CODE"))</x:f>
      </x:c>
      <x:c r="D352" s="8" t="str"/>
      <x:c r="E352" s="11"/>
      <x:c r="F352" s="11"/>
      <x:c r="G352"/>
      <x:c r="H352"/>
      <x:c r="I352"/>
    </x:row>
    <x:row r="353">
      <x:c r="A353" s="8" t="str"/>
      <x:c r="B353" s="6" t="str"/>
      <x:c r="C353" s="9" t="str">
        <x:f>IF(D353="","",IFERROR(VLOOKUP(D353,'ERP account codes'!$A$5:$C$273,3,FALSE),"CHECK CODE"))</x:f>
      </x:c>
      <x:c r="D353" s="8" t="str"/>
      <x:c r="E353" s="11"/>
      <x:c r="F353" s="11"/>
      <x:c r="G353"/>
      <x:c r="H353"/>
      <x:c r="I353"/>
    </x:row>
    <x:row r="354">
      <x:c r="A354" s="8" t="str"/>
      <x:c r="B354" s="6" t="str"/>
      <x:c r="C354" s="9" t="str">
        <x:f>IF(D354="","",IFERROR(VLOOKUP(D354,'ERP account codes'!$A$5:$C$273,3,FALSE),"CHECK CODE"))</x:f>
      </x:c>
      <x:c r="D354" s="8" t="str"/>
      <x:c r="E354" s="11"/>
      <x:c r="F354" s="11"/>
      <x:c r="G354"/>
      <x:c r="H354"/>
      <x:c r="I354"/>
    </x:row>
    <x:row r="355">
      <x:c r="A355" s="8" t="str"/>
      <x:c r="B355" s="6" t="str"/>
      <x:c r="C355" s="9" t="str">
        <x:f>IF(D355="","",IFERROR(VLOOKUP(D355,'ERP account codes'!$A$5:$C$273,3,FALSE),"CHECK CODE"))</x:f>
      </x:c>
      <x:c r="D355" s="8" t="str"/>
      <x:c r="E355" s="11"/>
      <x:c r="F355" s="11"/>
      <x:c r="G355"/>
      <x:c r="H355"/>
      <x:c r="I355"/>
    </x:row>
    <x:row r="356">
      <x:c r="A356" s="8" t="str"/>
      <x:c r="B356" s="6" t="str"/>
      <x:c r="C356" s="9" t="str">
        <x:f>IF(D356="","",IFERROR(VLOOKUP(D356,'ERP account codes'!$A$5:$C$273,3,FALSE),"CHECK CODE"))</x:f>
      </x:c>
      <x:c r="D356" s="8" t="str"/>
      <x:c r="E356" s="11"/>
      <x:c r="F356" s="11"/>
      <x:c r="G356"/>
      <x:c r="H356"/>
      <x:c r="I356"/>
    </x:row>
    <x:row r="357">
      <x:c r="A357" s="8" t="str"/>
      <x:c r="B357" s="6" t="str"/>
      <x:c r="C357" s="9" t="str">
        <x:f>IF(D357="","",IFERROR(VLOOKUP(D357,'ERP account codes'!$A$5:$C$273,3,FALSE),"CHECK CODE"))</x:f>
      </x:c>
      <x:c r="D357" s="8" t="str"/>
      <x:c r="E357" s="11"/>
      <x:c r="F357" s="11"/>
      <x:c r="G357"/>
      <x:c r="H357"/>
      <x:c r="I357"/>
    </x:row>
    <x:row r="358">
      <x:c r="A358" s="8" t="str"/>
      <x:c r="B358" s="6" t="str"/>
      <x:c r="C358" s="9" t="str">
        <x:f>IF(D358="","",IFERROR(VLOOKUP(D358,'ERP account codes'!$A$5:$C$273,3,FALSE),"CHECK CODE"))</x:f>
      </x:c>
      <x:c r="D358" s="8" t="str"/>
      <x:c r="E358" s="11"/>
      <x:c r="F358" s="11"/>
      <x:c r="G358"/>
      <x:c r="H358"/>
      <x:c r="I358"/>
    </x:row>
    <x:row r="359">
      <x:c r="A359" s="8" t="str"/>
      <x:c r="B359" s="6" t="str"/>
      <x:c r="C359" s="9" t="str">
        <x:f>IF(D359="","",IFERROR(VLOOKUP(D359,'ERP account codes'!$A$5:$C$273,3,FALSE),"CHECK CODE"))</x:f>
      </x:c>
      <x:c r="D359" s="8" t="str"/>
      <x:c r="E359" s="11"/>
      <x:c r="F359" s="11"/>
      <x:c r="G359"/>
      <x:c r="H359"/>
      <x:c r="I359"/>
    </x:row>
    <x:row r="360">
      <x:c r="A360" s="8" t="str"/>
      <x:c r="B360" s="6" t="str"/>
      <x:c r="C360" s="9" t="str">
        <x:f>IF(D360="","",IFERROR(VLOOKUP(D360,'ERP account codes'!$A$5:$C$273,3,FALSE),"CHECK CODE"))</x:f>
      </x:c>
      <x:c r="D360" s="8" t="str"/>
      <x:c r="E360" s="11"/>
      <x:c r="F360" s="11"/>
      <x:c r="G360"/>
      <x:c r="H360"/>
      <x:c r="I360"/>
    </x:row>
    <x:row r="361">
      <x:c r="A361" s="8" t="str"/>
      <x:c r="B361" s="6" t="str"/>
      <x:c r="C361" s="9" t="str">
        <x:f>IF(D361="","",IFERROR(VLOOKUP(D361,'ERP account codes'!$A$5:$C$273,3,FALSE),"CHECK CODE"))</x:f>
      </x:c>
      <x:c r="D361" s="8" t="str"/>
      <x:c r="E361" s="11"/>
      <x:c r="F361" s="11"/>
      <x:c r="G361"/>
      <x:c r="H361"/>
      <x:c r="I361"/>
    </x:row>
    <x:row r="362">
      <x:c r="A362" s="8" t="str"/>
      <x:c r="B362" s="6" t="str"/>
      <x:c r="C362" s="9" t="str">
        <x:f>IF(D362="","",IFERROR(VLOOKUP(D362,'ERP account codes'!$A$5:$C$273,3,FALSE),"CHECK CODE"))</x:f>
      </x:c>
      <x:c r="D362" s="8" t="str"/>
      <x:c r="E362" s="11"/>
      <x:c r="F362" s="11"/>
      <x:c r="G362"/>
      <x:c r="H362"/>
      <x:c r="I362"/>
    </x:row>
    <x:row r="363">
      <x:c r="A363" s="8" t="str"/>
      <x:c r="B363" s="6" t="str"/>
      <x:c r="C363" s="9" t="str">
        <x:f>IF(D363="","",IFERROR(VLOOKUP(D363,'ERP account codes'!$A$5:$C$273,3,FALSE),"CHECK CODE"))</x:f>
      </x:c>
      <x:c r="D363" s="8" t="str"/>
      <x:c r="E363" s="11"/>
      <x:c r="F363" s="11"/>
      <x:c r="G363"/>
      <x:c r="H363"/>
      <x:c r="I363"/>
    </x:row>
    <x:row r="364">
      <x:c r="A364" s="8" t="str"/>
      <x:c r="B364" s="6" t="str"/>
      <x:c r="C364" s="9" t="str">
        <x:f>IF(D364="","",IFERROR(VLOOKUP(D364,'ERP account codes'!$A$5:$C$273,3,FALSE),"CHECK CODE"))</x:f>
      </x:c>
      <x:c r="D364" s="8" t="str"/>
      <x:c r="E364" s="11"/>
      <x:c r="F364" s="11"/>
      <x:c r="G364"/>
      <x:c r="H364"/>
      <x:c r="I364"/>
    </x:row>
    <x:row r="365">
      <x:c r="A365" s="8" t="str"/>
      <x:c r="B365" s="6" t="str"/>
      <x:c r="C365" s="9" t="str">
        <x:f>IF(D365="","",IFERROR(VLOOKUP(D365,'ERP account codes'!$A$5:$C$273,3,FALSE),"CHECK CODE"))</x:f>
      </x:c>
      <x:c r="D365" s="8" t="str"/>
      <x:c r="E365" s="11"/>
      <x:c r="F365" s="11"/>
      <x:c r="G365"/>
      <x:c r="H365"/>
      <x:c r="I365"/>
    </x:row>
    <x:row r="366">
      <x:c r="A366" s="8" t="str"/>
      <x:c r="B366" s="6" t="str"/>
      <x:c r="C366" s="9" t="str">
        <x:f>IF(D366="","",IFERROR(VLOOKUP(D366,'ERP account codes'!$A$5:$C$273,3,FALSE),"CHECK CODE"))</x:f>
      </x:c>
      <x:c r="D366" s="8" t="str"/>
      <x:c r="E366" s="11"/>
      <x:c r="F366" s="11"/>
      <x:c r="G366"/>
      <x:c r="H366"/>
      <x:c r="I366"/>
    </x:row>
    <x:row r="367">
      <x:c r="A367" s="8" t="str"/>
      <x:c r="B367" s="6" t="str"/>
      <x:c r="C367" s="9" t="str">
        <x:f>IF(D367="","",IFERROR(VLOOKUP(D367,'ERP account codes'!$A$5:$C$273,3,FALSE),"CHECK CODE"))</x:f>
      </x:c>
      <x:c r="D367" s="8" t="str"/>
      <x:c r="E367" s="11"/>
      <x:c r="F367" s="11"/>
      <x:c r="G367"/>
      <x:c r="H367"/>
      <x:c r="I367"/>
    </x:row>
    <x:row r="368">
      <x:c r="A368" s="8" t="str"/>
      <x:c r="B368" s="6" t="str"/>
      <x:c r="C368" s="9" t="str">
        <x:f>IF(D368="","",IFERROR(VLOOKUP(D368,'ERP account codes'!$A$5:$C$273,3,FALSE),"CHECK CODE"))</x:f>
      </x:c>
      <x:c r="D368" s="8" t="str"/>
      <x:c r="E368" s="11"/>
      <x:c r="F368" s="11"/>
      <x:c r="G368"/>
      <x:c r="H368"/>
      <x:c r="I368"/>
    </x:row>
    <x:row r="369">
      <x:c r="A369" s="8" t="str"/>
      <x:c r="B369" s="6" t="str"/>
      <x:c r="C369" s="9" t="str">
        <x:f>IF(D369="","",IFERROR(VLOOKUP(D369,'ERP account codes'!$A$5:$C$273,3,FALSE),"CHECK CODE"))</x:f>
      </x:c>
      <x:c r="D369" s="8" t="str"/>
      <x:c r="E369" s="11"/>
      <x:c r="F369" s="11"/>
      <x:c r="G369"/>
      <x:c r="H369"/>
      <x:c r="I369"/>
    </x:row>
    <x:row r="370">
      <x:c r="A370" s="8" t="str"/>
      <x:c r="B370" s="6" t="str"/>
      <x:c r="C370" s="9" t="str">
        <x:f>IF(D370="","",IFERROR(VLOOKUP(D370,'ERP account codes'!$A$5:$C$273,3,FALSE),"CHECK CODE"))</x:f>
      </x:c>
      <x:c r="D370" s="8" t="str"/>
      <x:c r="E370" s="11"/>
      <x:c r="F370" s="11"/>
      <x:c r="G370"/>
      <x:c r="H370"/>
      <x:c r="I370"/>
    </x:row>
    <x:row r="371">
      <x:c r="A371" s="8" t="str"/>
      <x:c r="B371" s="6" t="str"/>
      <x:c r="C371" s="9" t="str">
        <x:f>IF(D371="","",IFERROR(VLOOKUP(D371,'ERP account codes'!$A$5:$C$273,3,FALSE),"CHECK CODE"))</x:f>
      </x:c>
      <x:c r="D371" s="8" t="str"/>
      <x:c r="E371" s="11"/>
      <x:c r="F371" s="11"/>
      <x:c r="G371"/>
      <x:c r="H371"/>
      <x:c r="I371"/>
    </x:row>
    <x:row r="372">
      <x:c r="A372" s="8" t="str"/>
      <x:c r="B372" s="6" t="str"/>
      <x:c r="C372" s="9" t="str">
        <x:f>IF(D372="","",IFERROR(VLOOKUP(D372,'ERP account codes'!$A$5:$C$273,3,FALSE),"CHECK CODE"))</x:f>
      </x:c>
      <x:c r="D372" s="8" t="str"/>
      <x:c r="E372" s="11"/>
      <x:c r="F372" s="11"/>
      <x:c r="G372"/>
      <x:c r="H372"/>
      <x:c r="I372"/>
    </x:row>
    <x:row r="373">
      <x:c r="A373" s="8" t="str"/>
      <x:c r="B373" s="6" t="str"/>
      <x:c r="C373" s="9" t="str">
        <x:f>IF(D373="","",IFERROR(VLOOKUP(D373,'ERP account codes'!$A$5:$C$273,3,FALSE),"CHECK CODE"))</x:f>
      </x:c>
      <x:c r="D373" s="8" t="str"/>
      <x:c r="E373" s="11"/>
      <x:c r="F373" s="11"/>
      <x:c r="G373"/>
      <x:c r="H373"/>
      <x:c r="I373"/>
    </x:row>
    <x:row r="374">
      <x:c r="A374" s="8" t="str"/>
      <x:c r="B374" s="6" t="str"/>
      <x:c r="C374" s="9" t="str">
        <x:f>IF(D374="","",IFERROR(VLOOKUP(D374,'ERP account codes'!$A$5:$C$273,3,FALSE),"CHECK CODE"))</x:f>
      </x:c>
      <x:c r="D374" s="8" t="str"/>
      <x:c r="E374" s="11"/>
      <x:c r="F374" s="11"/>
      <x:c r="G374"/>
      <x:c r="H374"/>
      <x:c r="I374"/>
    </x:row>
    <x:row r="375">
      <x:c r="A375" s="8" t="str"/>
      <x:c r="B375" s="6" t="str"/>
      <x:c r="C375" s="9" t="str">
        <x:f>IF(D375="","",IFERROR(VLOOKUP(D375,'ERP account codes'!$A$5:$C$273,3,FALSE),"CHECK CODE"))</x:f>
      </x:c>
      <x:c r="D375" s="8" t="str"/>
      <x:c r="E375" s="11"/>
      <x:c r="F375" s="11"/>
      <x:c r="G375"/>
      <x:c r="H375"/>
      <x:c r="I375"/>
    </x:row>
    <x:row r="376">
      <x:c r="A376" s="8" t="str"/>
      <x:c r="B376" s="6" t="str"/>
      <x:c r="C376" s="9" t="str">
        <x:f>IF(D376="","",IFERROR(VLOOKUP(D376,'ERP account codes'!$A$5:$C$273,3,FALSE),"CHECK CODE"))</x:f>
      </x:c>
      <x:c r="D376" s="8" t="str"/>
      <x:c r="E376" s="11"/>
      <x:c r="F376" s="11"/>
      <x:c r="G376"/>
      <x:c r="H376"/>
      <x:c r="I376"/>
    </x:row>
    <x:row r="377">
      <x:c r="A377" s="8" t="str"/>
      <x:c r="B377" s="6" t="str"/>
      <x:c r="C377" s="9" t="str">
        <x:f>IF(D377="","",IFERROR(VLOOKUP(D377,'ERP account codes'!$A$5:$C$273,3,FALSE),"CHECK CODE"))</x:f>
      </x:c>
      <x:c r="D377" s="8" t="str"/>
      <x:c r="E377" s="11"/>
      <x:c r="F377" s="11"/>
      <x:c r="G377"/>
      <x:c r="H377"/>
      <x:c r="I377"/>
    </x:row>
    <x:row r="378">
      <x:c r="A378" s="8" t="str"/>
      <x:c r="B378" s="6" t="str"/>
      <x:c r="C378" s="9" t="str">
        <x:f>IF(D378="","",IFERROR(VLOOKUP(D378,'ERP account codes'!$A$5:$C$273,3,FALSE),"CHECK CODE"))</x:f>
      </x:c>
      <x:c r="D378" s="8" t="str"/>
      <x:c r="E378" s="11"/>
      <x:c r="F378" s="11"/>
      <x:c r="G378"/>
      <x:c r="H378"/>
      <x:c r="I378"/>
    </x:row>
    <x:row r="379">
      <x:c r="A379" s="8" t="str"/>
      <x:c r="B379" s="6" t="str"/>
      <x:c r="C379" s="9" t="str">
        <x:f>IF(D379="","",IFERROR(VLOOKUP(D379,'ERP account codes'!$A$5:$C$273,3,FALSE),"CHECK CODE"))</x:f>
      </x:c>
      <x:c r="D379" s="8" t="str"/>
      <x:c r="E379" s="11"/>
      <x:c r="F379" s="11"/>
      <x:c r="G379"/>
      <x:c r="H379"/>
      <x:c r="I379"/>
    </x:row>
    <x:row r="380">
      <x:c r="A380" s="8" t="str"/>
      <x:c r="B380" s="6" t="str"/>
      <x:c r="C380" s="9" t="str">
        <x:f>IF(D380="","",IFERROR(VLOOKUP(D380,'ERP account codes'!$A$5:$C$273,3,FALSE),"CHECK CODE"))</x:f>
      </x:c>
      <x:c r="D380" s="8" t="str"/>
      <x:c r="E380" s="11"/>
      <x:c r="F380" s="11"/>
      <x:c r="G380"/>
      <x:c r="H380"/>
      <x:c r="I380"/>
    </x:row>
    <x:row r="381">
      <x:c r="A381" s="8" t="str"/>
      <x:c r="B381" s="6" t="str"/>
      <x:c r="C381" s="9" t="str">
        <x:f>IF(D381="","",IFERROR(VLOOKUP(D381,'ERP account codes'!$A$5:$C$273,3,FALSE),"CHECK CODE"))</x:f>
      </x:c>
      <x:c r="D381" s="8" t="str"/>
      <x:c r="E381" s="11"/>
      <x:c r="F381" s="11"/>
      <x:c r="G381"/>
      <x:c r="H381"/>
      <x:c r="I381"/>
    </x:row>
    <x:row r="382">
      <x:c r="A382" s="8" t="str"/>
      <x:c r="B382" s="6" t="str"/>
      <x:c r="C382" s="9" t="str">
        <x:f>IF(D382="","",IFERROR(VLOOKUP(D382,'ERP account codes'!$A$5:$C$273,3,FALSE),"CHECK CODE"))</x:f>
      </x:c>
      <x:c r="D382" s="8" t="str"/>
      <x:c r="E382" s="11"/>
      <x:c r="F382" s="11"/>
      <x:c r="G382"/>
      <x:c r="H382"/>
      <x:c r="I382"/>
    </x:row>
    <x:row r="383">
      <x:c r="A383" s="8" t="str"/>
      <x:c r="B383" s="6" t="str"/>
      <x:c r="C383" s="9" t="str">
        <x:f>IF(D383="","",IFERROR(VLOOKUP(D383,'ERP account codes'!$A$5:$C$273,3,FALSE),"CHECK CODE"))</x:f>
      </x:c>
      <x:c r="D383" s="8" t="str"/>
      <x:c r="E383" s="11"/>
      <x:c r="F383" s="11"/>
      <x:c r="G383"/>
      <x:c r="H383"/>
      <x:c r="I383"/>
    </x:row>
    <x:row r="384">
      <x:c r="A384" s="8" t="str"/>
      <x:c r="B384" s="6" t="str"/>
      <x:c r="C384" s="9" t="str">
        <x:f>IF(D384="","",IFERROR(VLOOKUP(D384,'ERP account codes'!$A$5:$C$273,3,FALSE),"CHECK CODE"))</x:f>
      </x:c>
      <x:c r="D384" s="8" t="str"/>
      <x:c r="E384" s="11"/>
      <x:c r="F384" s="11"/>
      <x:c r="G384"/>
      <x:c r="H384"/>
      <x:c r="I384"/>
    </x:row>
    <x:row r="385">
      <x:c r="A385" s="8" t="str"/>
      <x:c r="B385" s="6" t="str"/>
      <x:c r="C385" s="9" t="str">
        <x:f>IF(D385="","",IFERROR(VLOOKUP(D385,'ERP account codes'!$A$5:$C$273,3,FALSE),"CHECK CODE"))</x:f>
      </x:c>
      <x:c r="D385" s="8" t="str"/>
      <x:c r="E385" s="11"/>
      <x:c r="F385" s="11"/>
      <x:c r="G385"/>
      <x:c r="H385"/>
      <x:c r="I385"/>
    </x:row>
    <x:row r="386">
      <x:c r="A386" s="8" t="str"/>
      <x:c r="B386" s="6" t="str"/>
      <x:c r="C386" s="9" t="str">
        <x:f>IF(D386="","",IFERROR(VLOOKUP(D386,'ERP account codes'!$A$5:$C$273,3,FALSE),"CHECK CODE"))</x:f>
      </x:c>
      <x:c r="D386" s="8" t="str"/>
      <x:c r="E386" s="11"/>
      <x:c r="F386" s="11"/>
      <x:c r="G386"/>
      <x:c r="H386"/>
      <x:c r="I386"/>
    </x:row>
    <x:row r="387">
      <x:c r="A387" s="8" t="str"/>
      <x:c r="B387" s="6" t="str"/>
      <x:c r="C387" s="9" t="str">
        <x:f>IF(D387="","",IFERROR(VLOOKUP(D387,'ERP account codes'!$A$5:$C$273,3,FALSE),"CHECK CODE"))</x:f>
      </x:c>
      <x:c r="D387" s="8" t="str"/>
      <x:c r="E387" s="11"/>
      <x:c r="F387" s="11"/>
      <x:c r="G387"/>
      <x:c r="H387"/>
      <x:c r="I387"/>
    </x:row>
    <x:row r="388">
      <x:c r="A388" s="8" t="str"/>
      <x:c r="B388" s="6" t="str"/>
      <x:c r="C388" s="9" t="str">
        <x:f>IF(D388="","",IFERROR(VLOOKUP(D388,'ERP account codes'!$A$5:$C$273,3,FALSE),"CHECK CODE"))</x:f>
      </x:c>
      <x:c r="D388" s="8" t="str"/>
      <x:c r="E388" s="11"/>
      <x:c r="F388" s="11"/>
      <x:c r="G388"/>
      <x:c r="H388"/>
      <x:c r="I388"/>
    </x:row>
    <x:row r="389">
      <x:c r="A389" s="8" t="str"/>
      <x:c r="B389" s="6" t="str"/>
      <x:c r="C389" s="9" t="str">
        <x:f>IF(D389="","",IFERROR(VLOOKUP(D389,'ERP account codes'!$A$5:$C$273,3,FALSE),"CHECK CODE"))</x:f>
      </x:c>
      <x:c r="D389" s="8" t="str"/>
      <x:c r="E389" s="11"/>
      <x:c r="F389" s="11"/>
      <x:c r="G389"/>
      <x:c r="H389"/>
      <x:c r="I389"/>
    </x:row>
    <x:row r="390">
      <x:c r="A390" s="8" t="str"/>
      <x:c r="B390" s="6" t="str"/>
      <x:c r="C390" s="9" t="str">
        <x:f>IF(D390="","",IFERROR(VLOOKUP(D390,'ERP account codes'!$A$5:$C$273,3,FALSE),"CHECK CODE"))</x:f>
      </x:c>
      <x:c r="D390" s="8" t="str"/>
      <x:c r="E390" s="11"/>
      <x:c r="F390" s="11"/>
      <x:c r="G390"/>
      <x:c r="H390"/>
      <x:c r="I390"/>
    </x:row>
    <x:row r="391">
      <x:c r="A391" s="8" t="str"/>
      <x:c r="B391" s="6" t="str"/>
      <x:c r="C391" s="9" t="str">
        <x:f>IF(D391="","",IFERROR(VLOOKUP(D391,'ERP account codes'!$A$5:$C$273,3,FALSE),"CHECK CODE"))</x:f>
      </x:c>
      <x:c r="D391" s="8" t="str"/>
      <x:c r="E391" s="11"/>
      <x:c r="F391" s="11"/>
      <x:c r="G391"/>
      <x:c r="H391"/>
      <x:c r="I391"/>
    </x:row>
    <x:row r="392">
      <x:c r="A392" s="8" t="str"/>
      <x:c r="B392" s="6" t="str"/>
      <x:c r="C392" s="9" t="str">
        <x:f>IF(D392="","",IFERROR(VLOOKUP(D392,'ERP account codes'!$A$5:$C$273,3,FALSE),"CHECK CODE"))</x:f>
      </x:c>
      <x:c r="D392" s="8" t="str"/>
      <x:c r="E392" s="11"/>
      <x:c r="F392" s="11"/>
      <x:c r="G392"/>
      <x:c r="H392"/>
      <x:c r="I392"/>
    </x:row>
    <x:row r="393">
      <x:c r="A393" s="8" t="str"/>
      <x:c r="B393" s="6" t="str"/>
      <x:c r="C393" s="9" t="str">
        <x:f>IF(D393="","",IFERROR(VLOOKUP(D393,'ERP account codes'!$A$5:$C$273,3,FALSE),"CHECK CODE"))</x:f>
      </x:c>
      <x:c r="D393" s="8" t="str"/>
      <x:c r="E393" s="11"/>
      <x:c r="F393" s="11"/>
      <x:c r="G393"/>
      <x:c r="H393"/>
      <x:c r="I393"/>
    </x:row>
    <x:row r="394">
      <x:c r="A394" s="8" t="str"/>
      <x:c r="B394" s="6" t="str"/>
      <x:c r="C394" s="9" t="str">
        <x:f>IF(D394="","",IFERROR(VLOOKUP(D394,'ERP account codes'!$A$5:$C$273,3,FALSE),"CHECK CODE"))</x:f>
      </x:c>
      <x:c r="D394" s="8" t="str"/>
      <x:c r="E394" s="11"/>
      <x:c r="F394" s="11"/>
      <x:c r="G394"/>
      <x:c r="H394"/>
      <x:c r="I394"/>
    </x:row>
    <x:row r="395">
      <x:c r="A395" s="8" t="str"/>
      <x:c r="B395" s="6" t="str"/>
      <x:c r="C395" s="9" t="str">
        <x:f>IF(D395="","",IFERROR(VLOOKUP(D395,'ERP account codes'!$A$5:$C$273,3,FALSE),"CHECK CODE"))</x:f>
      </x:c>
      <x:c r="D395" s="8" t="str"/>
      <x:c r="E395" s="11"/>
      <x:c r="F395" s="11"/>
      <x:c r="G395"/>
      <x:c r="H395"/>
      <x:c r="I395"/>
    </x:row>
    <x:row r="396">
      <x:c r="A396" s="8" t="str"/>
      <x:c r="B396" s="6" t="str"/>
      <x:c r="C396" s="9" t="str">
        <x:f>IF(D396="","",IFERROR(VLOOKUP(D396,'ERP account codes'!$A$5:$C$273,3,FALSE),"CHECK CODE"))</x:f>
      </x:c>
      <x:c r="D396" s="8" t="str"/>
      <x:c r="E396" s="11"/>
      <x:c r="F396" s="11"/>
      <x:c r="G396"/>
      <x:c r="H396"/>
      <x:c r="I396"/>
    </x:row>
    <x:row r="397">
      <x:c r="A397" s="8" t="str"/>
      <x:c r="B397" s="6" t="str"/>
      <x:c r="C397" s="9" t="str">
        <x:f>IF(D397="","",IFERROR(VLOOKUP(D397,'ERP account codes'!$A$5:$C$273,3,FALSE),"CHECK CODE"))</x:f>
      </x:c>
      <x:c r="D397" s="8" t="str"/>
      <x:c r="E397" s="11"/>
      <x:c r="F397" s="11"/>
      <x:c r="G397"/>
      <x:c r="H397"/>
      <x:c r="I397"/>
    </x:row>
    <x:row r="398">
      <x:c r="A398" s="8" t="str"/>
      <x:c r="B398" s="6" t="str"/>
      <x:c r="C398" s="9" t="str">
        <x:f>IF(D398="","",IFERROR(VLOOKUP(D398,'ERP account codes'!$A$5:$C$273,3,FALSE),"CHECK CODE"))</x:f>
      </x:c>
      <x:c r="D398" s="8" t="str"/>
      <x:c r="E398" s="11"/>
      <x:c r="F398" s="11"/>
      <x:c r="G398"/>
      <x:c r="H398"/>
      <x:c r="I398"/>
    </x:row>
    <x:row r="399">
      <x:c r="A399" s="8" t="str"/>
      <x:c r="B399" s="6" t="str"/>
      <x:c r="C399" s="9" t="str">
        <x:f>IF(D399="","",IFERROR(VLOOKUP(D399,'ERP account codes'!$A$5:$C$273,3,FALSE),"CHECK CODE"))</x:f>
      </x:c>
      <x:c r="D399" s="8" t="str"/>
      <x:c r="E399" s="11"/>
      <x:c r="F399" s="11"/>
      <x:c r="G399"/>
      <x:c r="H399"/>
      <x:c r="I399"/>
    </x:row>
    <x:row r="400">
      <x:c r="A400" s="8" t="str"/>
      <x:c r="B400" s="6" t="str"/>
      <x:c r="C400" s="9" t="str">
        <x:f>IF(D400="","",IFERROR(VLOOKUP(D400,'ERP account codes'!$A$5:$C$273,3,FALSE),"CHECK CODE"))</x:f>
      </x:c>
      <x:c r="D400" s="8" t="str"/>
      <x:c r="E400" s="11"/>
      <x:c r="F400" s="11"/>
      <x:c r="G400"/>
      <x:c r="H400"/>
      <x:c r="I400"/>
    </x:row>
    <x:row r="401">
      <x:c r="A401" s="8" t="str"/>
      <x:c r="B401" s="6" t="str"/>
      <x:c r="C401" s="9" t="str">
        <x:f>IF(D401="","",IFERROR(VLOOKUP(D401,'ERP account codes'!$A$5:$C$273,3,FALSE),"CHECK CODE"))</x:f>
      </x:c>
      <x:c r="D401" s="8" t="str"/>
      <x:c r="E401" s="11"/>
      <x:c r="F401" s="11"/>
      <x:c r="G401"/>
      <x:c r="H401"/>
      <x:c r="I401"/>
    </x:row>
    <x:row r="402">
      <x:c r="A402" s="8" t="str"/>
      <x:c r="B402" s="6" t="str"/>
      <x:c r="C402" s="9" t="str">
        <x:f>IF(D402="","",IFERROR(VLOOKUP(D402,'ERP account codes'!$A$5:$C$273,3,FALSE),"CHECK CODE"))</x:f>
      </x:c>
      <x:c r="D402" s="8" t="str"/>
      <x:c r="E402" s="11"/>
      <x:c r="F402" s="11"/>
      <x:c r="G402"/>
      <x:c r="H402"/>
      <x:c r="I402"/>
    </x:row>
    <x:row r="403">
      <x:c r="A403" s="8" t="str"/>
      <x:c r="B403" s="6" t="str"/>
      <x:c r="C403" s="9" t="str">
        <x:f>IF(D403="","",IFERROR(VLOOKUP(D403,'ERP account codes'!$A$5:$C$273,3,FALSE),"CHECK CODE"))</x:f>
      </x:c>
      <x:c r="D403" s="8" t="str"/>
      <x:c r="E403" s="11"/>
      <x:c r="F403" s="11"/>
      <x:c r="G403"/>
      <x:c r="H403"/>
      <x:c r="I403"/>
    </x:row>
    <x:row r="404">
      <x:c r="A404" s="8" t="str"/>
      <x:c r="B404" s="6" t="str"/>
      <x:c r="C404" s="9" t="str">
        <x:f>IF(D404="","",IFERROR(VLOOKUP(D404,'ERP account codes'!$A$5:$C$273,3,FALSE),"CHECK CODE"))</x:f>
      </x:c>
      <x:c r="D404" s="8" t="str"/>
      <x:c r="E404" s="11"/>
      <x:c r="F404" s="11"/>
      <x:c r="G404"/>
      <x:c r="H404"/>
      <x:c r="I404"/>
    </x:row>
    <x:row r="405">
      <x:c r="A405" s="8" t="str"/>
      <x:c r="B405" s="6" t="str"/>
      <x:c r="C405" s="9" t="str">
        <x:f>IF(D405="","",IFERROR(VLOOKUP(D405,'ERP account codes'!$A$5:$C$273,3,FALSE),"CHECK CODE"))</x:f>
      </x:c>
      <x:c r="D405" s="8" t="str"/>
      <x:c r="E405" s="11"/>
      <x:c r="F405" s="11"/>
      <x:c r="G405"/>
      <x:c r="H405"/>
      <x:c r="I405"/>
    </x:row>
    <x:row r="406">
      <x:c r="A406" s="8" t="str"/>
      <x:c r="B406" s="6" t="str"/>
      <x:c r="C406" s="9" t="str">
        <x:f>IF(D406="","",IFERROR(VLOOKUP(D406,'ERP account codes'!$A$5:$C$273,3,FALSE),"CHECK CODE"))</x:f>
      </x:c>
      <x:c r="D406" s="8" t="str"/>
      <x:c r="E406" s="11"/>
      <x:c r="F406" s="11"/>
      <x:c r="G406"/>
      <x:c r="H406"/>
      <x:c r="I406"/>
    </x:row>
    <x:row r="407">
      <x:c r="A407" s="8" t="str"/>
      <x:c r="B407" s="6" t="str"/>
      <x:c r="C407" s="9" t="str">
        <x:f>IF(D407="","",IFERROR(VLOOKUP(D407,'ERP account codes'!$A$5:$C$273,3,FALSE),"CHECK CODE"))</x:f>
      </x:c>
      <x:c r="D407" s="8" t="str"/>
      <x:c r="E407" s="11"/>
      <x:c r="F407" s="11"/>
      <x:c r="G407"/>
      <x:c r="H407"/>
      <x:c r="I407"/>
    </x:row>
    <x:row r="408">
      <x:c r="A408" s="8" t="str"/>
      <x:c r="B408" s="6" t="str"/>
      <x:c r="C408" s="9" t="str">
        <x:f>IF(D408="","",IFERROR(VLOOKUP(D408,'ERP account codes'!$A$5:$C$273,3,FALSE),"CHECK CODE"))</x:f>
      </x:c>
      <x:c r="D408" s="8" t="str"/>
      <x:c r="E408" s="11"/>
      <x:c r="F408" s="11"/>
      <x:c r="G408"/>
      <x:c r="H408"/>
      <x:c r="I408"/>
    </x:row>
    <x:row r="409">
      <x:c r="A409" s="8" t="str"/>
      <x:c r="B409" s="6" t="str"/>
      <x:c r="C409" s="9" t="str">
        <x:f>IF(D409="","",IFERROR(VLOOKUP(D409,'ERP account codes'!$A$5:$C$273,3,FALSE),"CHECK CODE"))</x:f>
      </x:c>
      <x:c r="D409" s="8" t="str"/>
      <x:c r="E409" s="11"/>
      <x:c r="F409" s="11"/>
      <x:c r="G409"/>
      <x:c r="H409"/>
      <x:c r="I409"/>
    </x:row>
    <x:row r="410">
      <x:c r="A410" s="8" t="str"/>
      <x:c r="B410" s="6" t="str"/>
      <x:c r="C410" s="9" t="str">
        <x:f>IF(D410="","",IFERROR(VLOOKUP(D410,'ERP account codes'!$A$5:$C$273,3,FALSE),"CHECK CODE"))</x:f>
      </x:c>
      <x:c r="D410" s="8" t="str"/>
      <x:c r="E410" s="11"/>
      <x:c r="F410" s="11"/>
      <x:c r="G410"/>
      <x:c r="H410"/>
      <x:c r="I410"/>
    </x:row>
    <x:row r="411">
      <x:c r="A411" s="8" t="str"/>
      <x:c r="B411" s="6" t="str"/>
      <x:c r="C411" s="9" t="str">
        <x:f>IF(D411="","",IFERROR(VLOOKUP(D411,'ERP account codes'!$A$5:$C$273,3,FALSE),"CHECK CODE"))</x:f>
      </x:c>
      <x:c r="D411" s="8" t="str"/>
      <x:c r="E411" s="11"/>
      <x:c r="F411" s="11"/>
      <x:c r="G411"/>
      <x:c r="H411"/>
      <x:c r="I411"/>
    </x:row>
    <x:row r="412">
      <x:c r="A412" s="8" t="str"/>
      <x:c r="B412" s="6" t="str"/>
      <x:c r="C412" s="9" t="str">
        <x:f>IF(D412="","",IFERROR(VLOOKUP(D412,'ERP account codes'!$A$5:$C$273,3,FALSE),"CHECK CODE"))</x:f>
      </x:c>
      <x:c r="D412" s="8" t="str"/>
      <x:c r="E412" s="11"/>
      <x:c r="F412" s="11"/>
      <x:c r="G412"/>
      <x:c r="H412"/>
      <x:c r="I412"/>
    </x:row>
    <x:row r="413">
      <x:c r="A413" s="8" t="str"/>
      <x:c r="B413" s="6" t="str"/>
      <x:c r="C413" s="9" t="str">
        <x:f>IF(D413="","",IFERROR(VLOOKUP(D413,'ERP account codes'!$A$5:$C$273,3,FALSE),"CHECK CODE"))</x:f>
      </x:c>
      <x:c r="D413" s="8" t="str"/>
      <x:c r="E413" s="11"/>
      <x:c r="F413" s="11"/>
      <x:c r="G413"/>
      <x:c r="H413"/>
      <x:c r="I413"/>
    </x:row>
    <x:row r="414">
      <x:c r="A414" s="8" t="str"/>
      <x:c r="B414" s="6" t="str"/>
      <x:c r="C414" s="9" t="str">
        <x:f>IF(D414="","",IFERROR(VLOOKUP(D414,'ERP account codes'!$A$5:$C$273,3,FALSE),"CHECK CODE"))</x:f>
      </x:c>
      <x:c r="D414" s="8" t="str"/>
      <x:c r="E414" s="11"/>
      <x:c r="F414" s="11"/>
      <x:c r="G414"/>
      <x:c r="H414"/>
      <x:c r="I414"/>
    </x:row>
    <x:row r="415">
      <x:c r="A415" s="8" t="str"/>
      <x:c r="B415" s="6" t="str"/>
      <x:c r="C415" s="9" t="str">
        <x:f>IF(D415="","",IFERROR(VLOOKUP(D415,'ERP account codes'!$A$5:$C$273,3,FALSE),"CHECK CODE"))</x:f>
      </x:c>
      <x:c r="D415" s="8" t="str"/>
      <x:c r="E415" s="11"/>
      <x:c r="F415" s="11"/>
      <x:c r="G415"/>
      <x:c r="H415"/>
      <x:c r="I415"/>
    </x:row>
    <x:row r="416">
      <x:c r="A416" s="8" t="str"/>
      <x:c r="B416" s="6" t="str"/>
      <x:c r="C416" s="9" t="str">
        <x:f>IF(D416="","",IFERROR(VLOOKUP(D416,'ERP account codes'!$A$5:$C$273,3,FALSE),"CHECK CODE"))</x:f>
      </x:c>
      <x:c r="D416" s="8" t="str"/>
      <x:c r="E416" s="11"/>
      <x:c r="F416" s="11"/>
      <x:c r="G416"/>
      <x:c r="H416"/>
      <x:c r="I416"/>
    </x:row>
    <x:row r="417">
      <x:c r="A417" s="8" t="str"/>
      <x:c r="B417" s="6" t="str"/>
      <x:c r="C417" s="9" t="str">
        <x:f>IF(D417="","",IFERROR(VLOOKUP(D417,'ERP account codes'!$A$5:$C$273,3,FALSE),"CHECK CODE"))</x:f>
      </x:c>
      <x:c r="D417" s="8" t="str"/>
      <x:c r="E417" s="11"/>
      <x:c r="F417" s="11"/>
      <x:c r="G417"/>
      <x:c r="H417"/>
      <x:c r="I417"/>
    </x:row>
    <x:row r="418">
      <x:c r="A418" s="8" t="str"/>
      <x:c r="B418" s="6" t="str"/>
      <x:c r="C418" s="9" t="str">
        <x:f>IF(D418="","",IFERROR(VLOOKUP(D418,'ERP account codes'!$A$5:$C$273,3,FALSE),"CHECK CODE"))</x:f>
      </x:c>
      <x:c r="D418" s="8" t="str"/>
      <x:c r="E418" s="11"/>
      <x:c r="F418" s="11"/>
      <x:c r="G418"/>
      <x:c r="H418"/>
      <x:c r="I418"/>
    </x:row>
    <x:row r="419">
      <x:c r="A419" s="8" t="str"/>
      <x:c r="B419" s="6" t="str"/>
      <x:c r="C419" s="9" t="str">
        <x:f>IF(D419="","",IFERROR(VLOOKUP(D419,'ERP account codes'!$A$5:$C$273,3,FALSE),"CHECK CODE"))</x:f>
      </x:c>
      <x:c r="D419" s="8" t="str"/>
      <x:c r="E419" s="11"/>
      <x:c r="F419" s="11"/>
      <x:c r="G419"/>
      <x:c r="H419"/>
      <x:c r="I419"/>
    </x:row>
    <x:row r="420">
      <x:c r="A420" s="8" t="str"/>
      <x:c r="B420" s="6" t="str"/>
      <x:c r="C420" s="9" t="str">
        <x:f>IF(D420="","",IFERROR(VLOOKUP(D420,'ERP account codes'!$A$5:$C$273,3,FALSE),"CHECK CODE"))</x:f>
      </x:c>
      <x:c r="D420" s="8" t="str"/>
      <x:c r="E420" s="11"/>
      <x:c r="F420" s="11"/>
      <x:c r="G420"/>
      <x:c r="H420"/>
      <x:c r="I420"/>
    </x:row>
    <x:row r="421">
      <x:c r="A421" s="8" t="str"/>
      <x:c r="B421" s="6" t="str"/>
      <x:c r="C421" s="9" t="str">
        <x:f>IF(D421="","",IFERROR(VLOOKUP(D421,'ERP account codes'!$A$5:$C$273,3,FALSE),"CHECK CODE"))</x:f>
      </x:c>
      <x:c r="D421" s="8" t="str"/>
      <x:c r="E421" s="11"/>
      <x:c r="F421" s="11"/>
      <x:c r="G421"/>
      <x:c r="H421"/>
      <x:c r="I421"/>
    </x:row>
    <x:row r="422">
      <x:c r="A422" s="8" t="str"/>
      <x:c r="B422" s="6" t="str"/>
      <x:c r="C422" s="9" t="str">
        <x:f>IF(D422="","",IFERROR(VLOOKUP(D422,'ERP account codes'!$A$5:$C$273,3,FALSE),"CHECK CODE"))</x:f>
      </x:c>
      <x:c r="D422" s="8" t="str"/>
      <x:c r="E422" s="11"/>
      <x:c r="F422" s="11"/>
      <x:c r="G422"/>
      <x:c r="H422"/>
      <x:c r="I422"/>
    </x:row>
    <x:row r="423">
      <x:c r="A423" s="8" t="str"/>
      <x:c r="B423" s="6" t="str"/>
      <x:c r="C423" s="9" t="str">
        <x:f>IF(D423="","",IFERROR(VLOOKUP(D423,'ERP account codes'!$A$5:$C$273,3,FALSE),"CHECK CODE"))</x:f>
      </x:c>
      <x:c r="D423" s="8" t="str"/>
      <x:c r="E423" s="11"/>
      <x:c r="F423" s="11"/>
      <x:c r="G423"/>
      <x:c r="H423"/>
      <x:c r="I423"/>
    </x:row>
    <x:row r="424">
      <x:c r="A424" s="8" t="str"/>
      <x:c r="B424" s="6" t="str"/>
      <x:c r="C424" s="9" t="str">
        <x:f>IF(D424="","",IFERROR(VLOOKUP(D424,'ERP account codes'!$A$5:$C$273,3,FALSE),"CHECK CODE"))</x:f>
      </x:c>
      <x:c r="D424" s="8" t="str"/>
      <x:c r="E424" s="11"/>
      <x:c r="F424" s="11"/>
      <x:c r="G424"/>
      <x:c r="H424"/>
      <x:c r="I424"/>
    </x:row>
    <x:row r="425">
      <x:c r="A425" s="8" t="str"/>
      <x:c r="B425" s="6" t="str"/>
      <x:c r="C425" s="9" t="str">
        <x:f>IF(D425="","",IFERROR(VLOOKUP(D425,'ERP account codes'!$A$5:$C$273,3,FALSE),"CHECK CODE"))</x:f>
      </x:c>
      <x:c r="D425" s="8" t="str"/>
      <x:c r="E425" s="11"/>
      <x:c r="F425" s="11"/>
      <x:c r="G425"/>
      <x:c r="H425"/>
      <x:c r="I425"/>
    </x:row>
    <x:row r="426">
      <x:c r="A426" s="8" t="str"/>
      <x:c r="B426" s="6" t="str"/>
      <x:c r="C426" s="9" t="str">
        <x:f>IF(D426="","",IFERROR(VLOOKUP(D426,'ERP account codes'!$A$5:$C$273,3,FALSE),"CHECK CODE"))</x:f>
      </x:c>
      <x:c r="D426" s="8" t="str"/>
      <x:c r="E426" s="11"/>
      <x:c r="F426" s="11"/>
      <x:c r="G426"/>
      <x:c r="H426"/>
      <x:c r="I426"/>
    </x:row>
    <x:row r="427">
      <x:c r="A427" s="8" t="str"/>
      <x:c r="B427" s="6" t="str"/>
      <x:c r="C427" s="9" t="str">
        <x:f>IF(D427="","",IFERROR(VLOOKUP(D427,'ERP account codes'!$A$5:$C$273,3,FALSE),"CHECK CODE"))</x:f>
      </x:c>
      <x:c r="D427" s="8" t="str"/>
      <x:c r="E427" s="11"/>
      <x:c r="F427" s="11"/>
      <x:c r="G427"/>
      <x:c r="H427"/>
      <x:c r="I427"/>
    </x:row>
    <x:row r="428">
      <x:c r="A428" s="8" t="str"/>
      <x:c r="B428" s="6" t="str"/>
      <x:c r="C428" s="9" t="str">
        <x:f>IF(D428="","",IFERROR(VLOOKUP(D428,'ERP account codes'!$A$5:$C$273,3,FALSE),"CHECK CODE"))</x:f>
      </x:c>
      <x:c r="D428" s="8" t="str"/>
      <x:c r="E428" s="11"/>
      <x:c r="F428" s="11"/>
      <x:c r="G428"/>
      <x:c r="H428"/>
      <x:c r="I428"/>
    </x:row>
    <x:row r="429">
      <x:c r="A429" s="8" t="str"/>
      <x:c r="B429" s="6" t="str"/>
      <x:c r="C429" s="9" t="str">
        <x:f>IF(D429="","",IFERROR(VLOOKUP(D429,'ERP account codes'!$A$5:$C$273,3,FALSE),"CHECK CODE"))</x:f>
      </x:c>
      <x:c r="D429" s="8" t="str"/>
      <x:c r="E429" s="11"/>
      <x:c r="F429" s="11"/>
      <x:c r="G429"/>
      <x:c r="H429"/>
      <x:c r="I429"/>
    </x:row>
    <x:row r="430">
      <x:c r="A430" s="8" t="str"/>
      <x:c r="B430" s="6" t="str"/>
      <x:c r="C430" s="9" t="str">
        <x:f>IF(D430="","",IFERROR(VLOOKUP(D430,'ERP account codes'!$A$5:$C$273,3,FALSE),"CHECK CODE"))</x:f>
      </x:c>
      <x:c r="D430" s="8" t="str"/>
      <x:c r="E430" s="11"/>
      <x:c r="F430" s="11"/>
      <x:c r="G430"/>
      <x:c r="H430"/>
      <x:c r="I430"/>
    </x:row>
    <x:row r="431">
      <x:c r="A431" s="8" t="str"/>
      <x:c r="B431" s="6" t="str"/>
      <x:c r="C431" s="9" t="str">
        <x:f>IF(D431="","",IFERROR(VLOOKUP(D431,'ERP account codes'!$A$5:$C$273,3,FALSE),"CHECK CODE"))</x:f>
      </x:c>
      <x:c r="D431" s="8" t="str"/>
      <x:c r="E431" s="11"/>
      <x:c r="F431" s="11"/>
      <x:c r="G431"/>
      <x:c r="H431"/>
      <x:c r="I431"/>
    </x:row>
    <x:row r="432">
      <x:c r="A432" s="8" t="str"/>
      <x:c r="B432" s="6" t="str"/>
      <x:c r="C432" s="9" t="str">
        <x:f>IF(D432="","",IFERROR(VLOOKUP(D432,'ERP account codes'!$A$5:$C$273,3,FALSE),"CHECK CODE"))</x:f>
      </x:c>
      <x:c r="D432" s="8" t="str"/>
      <x:c r="E432" s="11"/>
      <x:c r="F432" s="11"/>
      <x:c r="G432"/>
      <x:c r="H432"/>
      <x:c r="I432"/>
    </x:row>
    <x:row r="433">
      <x:c r="A433" s="8" t="str"/>
      <x:c r="B433" s="6" t="str"/>
      <x:c r="C433" s="9" t="str">
        <x:f>IF(D433="","",IFERROR(VLOOKUP(D433,'ERP account codes'!$A$5:$C$273,3,FALSE),"CHECK CODE"))</x:f>
      </x:c>
      <x:c r="D433" s="8" t="str"/>
      <x:c r="E433" s="11"/>
      <x:c r="F433" s="11"/>
      <x:c r="G433"/>
      <x:c r="H433"/>
      <x:c r="I433"/>
    </x:row>
    <x:row r="434">
      <x:c r="A434" s="8" t="str"/>
      <x:c r="B434" s="6" t="str"/>
      <x:c r="C434" s="9" t="str">
        <x:f>IF(D434="","",IFERROR(VLOOKUP(D434,'ERP account codes'!$A$5:$C$273,3,FALSE),"CHECK CODE"))</x:f>
      </x:c>
      <x:c r="D434" s="8" t="str"/>
      <x:c r="E434" s="11"/>
      <x:c r="F434" s="11"/>
      <x:c r="G434"/>
      <x:c r="H434"/>
      <x:c r="I434"/>
    </x:row>
    <x:row r="435">
      <x:c r="A435" s="8" t="str"/>
      <x:c r="B435" s="6" t="str"/>
      <x:c r="C435" s="9" t="str">
        <x:f>IF(D435="","",IFERROR(VLOOKUP(D435,'ERP account codes'!$A$5:$C$273,3,FALSE),"CHECK CODE"))</x:f>
      </x:c>
      <x:c r="D435" s="8" t="str"/>
      <x:c r="E435" s="11"/>
      <x:c r="F435" s="11"/>
      <x:c r="G435"/>
      <x:c r="H435"/>
      <x:c r="I435"/>
    </x:row>
    <x:row r="436">
      <x:c r="A436" s="8" t="str"/>
      <x:c r="B436" s="6" t="str"/>
      <x:c r="C436" s="9" t="str">
        <x:f>IF(D436="","",IFERROR(VLOOKUP(D436,'ERP account codes'!$A$5:$C$273,3,FALSE),"CHECK CODE"))</x:f>
      </x:c>
      <x:c r="D436" s="8" t="str"/>
      <x:c r="E436" s="11"/>
      <x:c r="F436" s="11"/>
      <x:c r="G436"/>
      <x:c r="H436"/>
      <x:c r="I436"/>
    </x:row>
    <x:row r="437">
      <x:c r="A437" s="8" t="str"/>
      <x:c r="B437" s="6" t="str"/>
      <x:c r="C437" s="9" t="str">
        <x:f>IF(D437="","",IFERROR(VLOOKUP(D437,'ERP account codes'!$A$5:$C$273,3,FALSE),"CHECK CODE"))</x:f>
      </x:c>
      <x:c r="D437" s="8" t="str"/>
      <x:c r="E437" s="11"/>
      <x:c r="F437" s="11"/>
      <x:c r="G437"/>
      <x:c r="H437"/>
      <x:c r="I437"/>
    </x:row>
    <x:row r="438">
      <x:c r="A438" s="8" t="str"/>
      <x:c r="B438" s="6" t="str"/>
      <x:c r="C438" s="9" t="str">
        <x:f>IF(D438="","",IFERROR(VLOOKUP(D438,'ERP account codes'!$A$5:$C$273,3,FALSE),"CHECK CODE"))</x:f>
      </x:c>
      <x:c r="D438" s="8" t="str"/>
      <x:c r="E438" s="11"/>
      <x:c r="F438" s="11"/>
      <x:c r="G438"/>
      <x:c r="H438"/>
      <x:c r="I438"/>
    </x:row>
    <x:row r="439">
      <x:c r="A439" s="8" t="str"/>
      <x:c r="B439" s="6" t="str"/>
      <x:c r="C439" s="9" t="str">
        <x:f>IF(D439="","",IFERROR(VLOOKUP(D439,'ERP account codes'!$A$5:$C$273,3,FALSE),"CHECK CODE"))</x:f>
      </x:c>
      <x:c r="D439" s="8" t="str"/>
      <x:c r="E439" s="11"/>
      <x:c r="F439" s="11"/>
      <x:c r="G439"/>
      <x:c r="H439"/>
      <x:c r="I439"/>
    </x:row>
    <x:row r="440">
      <x:c r="A440" s="8" t="str"/>
      <x:c r="B440" s="6" t="str"/>
      <x:c r="C440" s="9" t="str">
        <x:f>IF(D440="","",IFERROR(VLOOKUP(D440,'ERP account codes'!$A$5:$C$273,3,FALSE),"CHECK CODE"))</x:f>
      </x:c>
      <x:c r="D440" s="8" t="str"/>
      <x:c r="E440" s="11"/>
      <x:c r="F440" s="11"/>
      <x:c r="G440"/>
      <x:c r="H440"/>
      <x:c r="I440"/>
    </x:row>
    <x:row r="441">
      <x:c r="A441" s="8" t="str"/>
      <x:c r="B441" s="6" t="str"/>
      <x:c r="C441" s="9" t="str">
        <x:f>IF(D441="","",IFERROR(VLOOKUP(D441,'ERP account codes'!$A$5:$C$273,3,FALSE),"CHECK CODE"))</x:f>
      </x:c>
      <x:c r="D441" s="8" t="str"/>
      <x:c r="E441" s="11"/>
      <x:c r="F441" s="11"/>
      <x:c r="G441"/>
      <x:c r="H441"/>
      <x:c r="I441"/>
    </x:row>
    <x:row r="442">
      <x:c r="A442" s="8" t="str"/>
      <x:c r="B442" s="6" t="str"/>
      <x:c r="C442" s="9" t="str">
        <x:f>IF(D442="","",IFERROR(VLOOKUP(D442,'ERP account codes'!$A$5:$C$273,3,FALSE),"CHECK CODE"))</x:f>
      </x:c>
      <x:c r="D442" s="8" t="str"/>
      <x:c r="E442" s="11"/>
      <x:c r="F442" s="11"/>
      <x:c r="G442"/>
      <x:c r="H442"/>
      <x:c r="I442"/>
    </x:row>
    <x:row r="443">
      <x:c r="A443" s="8" t="str"/>
      <x:c r="B443" s="6" t="str"/>
      <x:c r="C443" s="9" t="str">
        <x:f>IF(D443="","",IFERROR(VLOOKUP(D443,'ERP account codes'!$A$5:$C$273,3,FALSE),"CHECK CODE"))</x:f>
      </x:c>
      <x:c r="D443" s="8" t="str"/>
      <x:c r="E443" s="11"/>
      <x:c r="F443" s="11"/>
      <x:c r="G443"/>
      <x:c r="H443"/>
      <x:c r="I443"/>
    </x:row>
    <x:row r="444">
      <x:c r="A444" s="8" t="str"/>
      <x:c r="B444" s="6" t="str"/>
      <x:c r="C444" s="9" t="str">
        <x:f>IF(D444="","",IFERROR(VLOOKUP(D444,'ERP account codes'!$A$5:$C$273,3,FALSE),"CHECK CODE"))</x:f>
      </x:c>
      <x:c r="D444" s="8" t="str"/>
      <x:c r="E444" s="11"/>
      <x:c r="F444" s="11"/>
      <x:c r="G444"/>
      <x:c r="H444"/>
      <x:c r="I444"/>
    </x:row>
    <x:row r="445">
      <x:c r="A445" s="8" t="str"/>
      <x:c r="B445" s="6" t="str"/>
      <x:c r="C445" s="9" t="str">
        <x:f>IF(D445="","",IFERROR(VLOOKUP(D445,'ERP account codes'!$A$5:$C$273,3,FALSE),"CHECK CODE"))</x:f>
      </x:c>
      <x:c r="D445" s="8" t="str"/>
      <x:c r="E445" s="11"/>
      <x:c r="F445" s="11"/>
      <x:c r="G445"/>
      <x:c r="H445"/>
      <x:c r="I445"/>
    </x:row>
    <x:row r="446">
      <x:c r="A446" s="8" t="str"/>
      <x:c r="B446" s="6" t="str"/>
      <x:c r="C446" s="9" t="str">
        <x:f>IF(D446="","",IFERROR(VLOOKUP(D446,'ERP account codes'!$A$5:$C$273,3,FALSE),"CHECK CODE"))</x:f>
      </x:c>
      <x:c r="D446" s="8" t="str"/>
      <x:c r="E446" s="11"/>
      <x:c r="F446" s="11"/>
      <x:c r="G446"/>
      <x:c r="H446"/>
      <x:c r="I446"/>
    </x:row>
    <x:row r="447">
      <x:c r="A447" s="8" t="str"/>
      <x:c r="B447" s="6" t="str"/>
      <x:c r="C447" s="9" t="str">
        <x:f>IF(D447="","",IFERROR(VLOOKUP(D447,'ERP account codes'!$A$5:$C$273,3,FALSE),"CHECK CODE"))</x:f>
      </x:c>
      <x:c r="D447" s="8" t="str"/>
      <x:c r="E447" s="11"/>
      <x:c r="F447" s="11"/>
      <x:c r="G447"/>
      <x:c r="H447"/>
      <x:c r="I447"/>
    </x:row>
    <x:row r="448">
      <x:c r="A448" s="8" t="str"/>
      <x:c r="B448" s="6" t="str"/>
      <x:c r="C448" s="9" t="str">
        <x:f>IF(D448="","",IFERROR(VLOOKUP(D448,'ERP account codes'!$A$5:$C$273,3,FALSE),"CHECK CODE"))</x:f>
      </x:c>
      <x:c r="D448" s="8" t="str"/>
      <x:c r="E448" s="11"/>
      <x:c r="F448" s="11"/>
      <x:c r="G448"/>
      <x:c r="H448"/>
      <x:c r="I448"/>
    </x:row>
    <x:row r="449">
      <x:c r="A449" s="8" t="str"/>
      <x:c r="B449" s="6" t="str"/>
      <x:c r="C449" s="9" t="str">
        <x:f>IF(D449="","",IFERROR(VLOOKUP(D449,'ERP account codes'!$A$5:$C$273,3,FALSE),"CHECK CODE"))</x:f>
      </x:c>
      <x:c r="D449" s="8" t="str"/>
      <x:c r="E449" s="11"/>
      <x:c r="F449" s="11"/>
      <x:c r="G449"/>
      <x:c r="H449"/>
      <x:c r="I449"/>
    </x:row>
    <x:row r="450">
      <x:c r="A450" s="8" t="str"/>
      <x:c r="B450" s="6" t="str"/>
      <x:c r="C450" s="9" t="str">
        <x:f>IF(D450="","",IFERROR(VLOOKUP(D450,'ERP account codes'!$A$5:$C$273,3,FALSE),"CHECK CODE"))</x:f>
      </x:c>
      <x:c r="D450" s="8" t="str"/>
      <x:c r="E450" s="11"/>
      <x:c r="F450" s="11"/>
      <x:c r="G450"/>
      <x:c r="H450"/>
      <x:c r="I450"/>
    </x:row>
    <x:row r="451">
      <x:c r="A451" s="8" t="str"/>
      <x:c r="B451" s="6" t="str"/>
      <x:c r="C451" s="9" t="str">
        <x:f>IF(D451="","",IFERROR(VLOOKUP(D451,'ERP account codes'!$A$5:$C$273,3,FALSE),"CHECK CODE"))</x:f>
      </x:c>
      <x:c r="D451" s="8" t="str"/>
      <x:c r="E451" s="11"/>
      <x:c r="F451" s="11"/>
      <x:c r="G451"/>
      <x:c r="H451"/>
      <x:c r="I451"/>
    </x:row>
    <x:row r="452">
      <x:c r="A452" s="8" t="str"/>
      <x:c r="B452" s="6" t="str"/>
      <x:c r="C452" s="9" t="str">
        <x:f>IF(D452="","",IFERROR(VLOOKUP(D452,'ERP account codes'!$A$5:$C$273,3,FALSE),"CHECK CODE"))</x:f>
      </x:c>
      <x:c r="D452" s="8" t="str"/>
      <x:c r="E452" s="11"/>
      <x:c r="F452" s="11"/>
      <x:c r="G452"/>
      <x:c r="H452"/>
      <x:c r="I452"/>
    </x:row>
    <x:row r="453">
      <x:c r="A453" s="8" t="str"/>
      <x:c r="B453" s="6" t="str"/>
      <x:c r="C453" s="9" t="str">
        <x:f>IF(D453="","",IFERROR(VLOOKUP(D453,'ERP account codes'!$A$5:$C$273,3,FALSE),"CHECK CODE"))</x:f>
      </x:c>
      <x:c r="D453" s="8" t="str"/>
      <x:c r="E453" s="11"/>
      <x:c r="F453" s="11"/>
      <x:c r="G453"/>
      <x:c r="H453"/>
      <x:c r="I453"/>
    </x:row>
    <x:row r="454">
      <x:c r="A454" s="8" t="str"/>
      <x:c r="B454" s="6" t="str"/>
      <x:c r="C454" s="9" t="str">
        <x:f>IF(D454="","",IFERROR(VLOOKUP(D454,'ERP account codes'!$A$5:$C$273,3,FALSE),"CHECK CODE"))</x:f>
      </x:c>
      <x:c r="D454" s="8" t="str"/>
      <x:c r="E454" s="11"/>
      <x:c r="F454" s="11"/>
      <x:c r="G454"/>
      <x:c r="H454"/>
      <x:c r="I454"/>
    </x:row>
    <x:row r="455">
      <x:c r="A455" s="8" t="str"/>
      <x:c r="B455" s="6" t="str"/>
      <x:c r="C455" s="9" t="str">
        <x:f>IF(D455="","",IFERROR(VLOOKUP(D455,'ERP account codes'!$A$5:$C$273,3,FALSE),"CHECK CODE"))</x:f>
      </x:c>
      <x:c r="D455" s="8" t="str"/>
      <x:c r="E455" s="11"/>
      <x:c r="F455" s="11"/>
      <x:c r="G455"/>
      <x:c r="H455"/>
      <x:c r="I455"/>
    </x:row>
    <x:row r="456">
      <x:c r="A456" s="8" t="str"/>
      <x:c r="B456" s="6" t="str"/>
      <x:c r="C456" s="9" t="str">
        <x:f>IF(D456="","",IFERROR(VLOOKUP(D456,'ERP account codes'!$A$5:$C$273,3,FALSE),"CHECK CODE"))</x:f>
      </x:c>
      <x:c r="D456" s="8" t="str"/>
      <x:c r="E456" s="11"/>
      <x:c r="F456" s="11"/>
      <x:c r="G456"/>
      <x:c r="H456"/>
      <x:c r="I456"/>
    </x:row>
    <x:row r="457">
      <x:c r="A457" s="8" t="str"/>
      <x:c r="B457" s="6" t="str"/>
      <x:c r="C457" s="9" t="str">
        <x:f>IF(D457="","",IFERROR(VLOOKUP(D457,'ERP account codes'!$A$5:$C$273,3,FALSE),"CHECK CODE"))</x:f>
      </x:c>
      <x:c r="D457" s="8" t="str"/>
      <x:c r="E457" s="11"/>
      <x:c r="F457" s="11"/>
      <x:c r="G457"/>
      <x:c r="H457"/>
      <x:c r="I457"/>
    </x:row>
    <x:row r="458">
      <x:c r="A458" s="8" t="str"/>
      <x:c r="B458" s="6" t="str"/>
      <x:c r="C458" s="9" t="str">
        <x:f>IF(D458="","",IFERROR(VLOOKUP(D458,'ERP account codes'!$A$5:$C$273,3,FALSE),"CHECK CODE"))</x:f>
      </x:c>
      <x:c r="D458" s="8" t="str"/>
      <x:c r="E458" s="11"/>
      <x:c r="F458" s="11"/>
      <x:c r="G458"/>
      <x:c r="H458"/>
      <x:c r="I458"/>
    </x:row>
    <x:row r="459">
      <x:c r="A459" s="8" t="str"/>
      <x:c r="B459" s="6" t="str"/>
      <x:c r="C459" s="9" t="str">
        <x:f>IF(D459="","",IFERROR(VLOOKUP(D459,'ERP account codes'!$A$5:$C$273,3,FALSE),"CHECK CODE"))</x:f>
      </x:c>
      <x:c r="D459" s="8" t="str"/>
      <x:c r="E459" s="11"/>
      <x:c r="F459" s="11"/>
      <x:c r="G459"/>
      <x:c r="H459"/>
      <x:c r="I459"/>
    </x:row>
    <x:row r="460">
      <x:c r="A460" s="8" t="str"/>
      <x:c r="B460" s="6" t="str"/>
      <x:c r="C460" s="9" t="str">
        <x:f>IF(D460="","",IFERROR(VLOOKUP(D460,'ERP account codes'!$A$5:$C$273,3,FALSE),"CHECK CODE"))</x:f>
      </x:c>
      <x:c r="D460" s="8" t="str"/>
      <x:c r="E460" s="11"/>
      <x:c r="F460" s="11"/>
      <x:c r="G460"/>
      <x:c r="H460"/>
      <x:c r="I460"/>
    </x:row>
    <x:row r="461">
      <x:c r="A461" s="8" t="str"/>
      <x:c r="B461" s="6" t="str"/>
      <x:c r="C461" s="9" t="str">
        <x:f>IF(D461="","",IFERROR(VLOOKUP(D461,'ERP account codes'!$A$5:$C$273,3,FALSE),"CHECK CODE"))</x:f>
      </x:c>
      <x:c r="D461" s="8" t="str"/>
      <x:c r="E461" s="11"/>
      <x:c r="F461" s="11"/>
      <x:c r="G461"/>
      <x:c r="H461"/>
      <x:c r="I461"/>
    </x:row>
    <x:row r="462">
      <x:c r="A462" s="8" t="str"/>
      <x:c r="B462" s="6" t="str"/>
      <x:c r="C462" s="9" t="str">
        <x:f>IF(D462="","",IFERROR(VLOOKUP(D462,'ERP account codes'!$A$5:$C$273,3,FALSE),"CHECK CODE"))</x:f>
      </x:c>
      <x:c r="D462" s="8" t="str"/>
      <x:c r="E462" s="11"/>
      <x:c r="F462" s="11"/>
      <x:c r="G462"/>
      <x:c r="H462"/>
      <x:c r="I462"/>
    </x:row>
    <x:row r="463">
      <x:c r="A463" s="8" t="str"/>
      <x:c r="B463" s="6" t="str"/>
      <x:c r="C463" s="9" t="str">
        <x:f>IF(D463="","",IFERROR(VLOOKUP(D463,'ERP account codes'!$A$5:$C$273,3,FALSE),"CHECK CODE"))</x:f>
      </x:c>
      <x:c r="D463" s="8" t="str"/>
      <x:c r="E463" s="11"/>
      <x:c r="F463" s="11"/>
      <x:c r="G463"/>
      <x:c r="H463"/>
      <x:c r="I463"/>
    </x:row>
    <x:row r="464">
      <x:c r="A464" s="8" t="str"/>
      <x:c r="B464" s="6" t="str"/>
      <x:c r="C464" s="9" t="str">
        <x:f>IF(D464="","",IFERROR(VLOOKUP(D464,'ERP account codes'!$A$5:$C$273,3,FALSE),"CHECK CODE"))</x:f>
      </x:c>
      <x:c r="D464" s="8" t="str"/>
      <x:c r="E464" s="11"/>
      <x:c r="F464" s="11"/>
      <x:c r="G464"/>
      <x:c r="H464"/>
      <x:c r="I464"/>
    </x:row>
    <x:row r="465">
      <x:c r="A465" s="8" t="str"/>
      <x:c r="B465" s="6" t="str"/>
      <x:c r="C465" s="9" t="str">
        <x:f>IF(D465="","",IFERROR(VLOOKUP(D465,'ERP account codes'!$A$5:$C$273,3,FALSE),"CHECK CODE"))</x:f>
      </x:c>
      <x:c r="D465" s="8" t="str"/>
      <x:c r="E465" s="11"/>
      <x:c r="F465" s="11"/>
      <x:c r="G465"/>
      <x:c r="H465"/>
      <x:c r="I465"/>
    </x:row>
    <x:row r="466">
      <x:c r="A466" s="8" t="str"/>
      <x:c r="B466" s="6" t="str"/>
      <x:c r="C466" s="9" t="str">
        <x:f>IF(D466="","",IFERROR(VLOOKUP(D466,'ERP account codes'!$A$5:$C$273,3,FALSE),"CHECK CODE"))</x:f>
      </x:c>
      <x:c r="D466" s="8" t="str"/>
      <x:c r="E466" s="11"/>
      <x:c r="F466" s="11"/>
      <x:c r="G466"/>
      <x:c r="H466"/>
      <x:c r="I466"/>
    </x:row>
    <x:row r="467">
      <x:c r="A467" s="8" t="str"/>
      <x:c r="B467" s="6" t="str"/>
      <x:c r="C467" s="9" t="str">
        <x:f>IF(D467="","",IFERROR(VLOOKUP(D467,'ERP account codes'!$A$5:$C$273,3,FALSE),"CHECK CODE"))</x:f>
      </x:c>
      <x:c r="D467" s="8" t="str"/>
      <x:c r="E467" s="11"/>
      <x:c r="F467" s="11"/>
      <x:c r="G467"/>
      <x:c r="H467"/>
      <x:c r="I467"/>
    </x:row>
    <x:row r="468">
      <x:c r="A468" s="8" t="str"/>
      <x:c r="B468" s="6" t="str"/>
      <x:c r="C468" s="9" t="str">
        <x:f>IF(D468="","",IFERROR(VLOOKUP(D468,'ERP account codes'!$A$5:$C$273,3,FALSE),"CHECK CODE"))</x:f>
      </x:c>
      <x:c r="D468" s="8" t="str"/>
      <x:c r="E468" s="11"/>
      <x:c r="F468" s="11"/>
      <x:c r="G468"/>
      <x:c r="H468"/>
      <x:c r="I468"/>
    </x:row>
    <x:row r="469">
      <x:c r="A469" s="8" t="str"/>
      <x:c r="B469" s="6" t="str"/>
      <x:c r="C469" s="9" t="str">
        <x:f>IF(D469="","",IFERROR(VLOOKUP(D469,'ERP account codes'!$A$5:$C$273,3,FALSE),"CHECK CODE"))</x:f>
      </x:c>
      <x:c r="D469" s="8" t="str"/>
      <x:c r="E469" s="11"/>
      <x:c r="F469" s="11"/>
      <x:c r="G469"/>
      <x:c r="H469"/>
      <x:c r="I469"/>
    </x:row>
    <x:row r="470">
      <x:c r="A470" s="8" t="str"/>
      <x:c r="B470" s="6" t="str"/>
      <x:c r="C470" s="9" t="str">
        <x:f>IF(D470="","",IFERROR(VLOOKUP(D470,'ERP account codes'!$A$5:$C$273,3,FALSE),"CHECK CODE"))</x:f>
      </x:c>
      <x:c r="D470" s="8" t="str"/>
      <x:c r="E470" s="11"/>
      <x:c r="F470" s="11"/>
      <x:c r="G470"/>
      <x:c r="H470"/>
      <x:c r="I470"/>
    </x:row>
    <x:row r="471">
      <x:c r="A471" s="8" t="str"/>
      <x:c r="B471" s="6" t="str"/>
      <x:c r="C471" s="9" t="str">
        <x:f>IF(D471="","",IFERROR(VLOOKUP(D471,'ERP account codes'!$A$5:$C$273,3,FALSE),"CHECK CODE"))</x:f>
      </x:c>
      <x:c r="D471" s="8" t="str"/>
      <x:c r="E471" s="11"/>
      <x:c r="F471" s="11"/>
      <x:c r="G471"/>
      <x:c r="H471"/>
      <x:c r="I471"/>
    </x:row>
    <x:row r="472">
      <x:c r="A472" s="8" t="str"/>
      <x:c r="B472" s="6" t="str"/>
      <x:c r="C472" s="9" t="str">
        <x:f>IF(D472="","",IFERROR(VLOOKUP(D472,'ERP account codes'!$A$5:$C$273,3,FALSE),"CHECK CODE"))</x:f>
      </x:c>
      <x:c r="D472" s="8" t="str"/>
      <x:c r="E472" s="11"/>
      <x:c r="F472" s="11"/>
      <x:c r="G472"/>
      <x:c r="H472"/>
      <x:c r="I472"/>
    </x:row>
    <x:row r="473">
      <x:c r="A473" s="8" t="str"/>
      <x:c r="B473" s="6" t="str"/>
      <x:c r="C473" s="9" t="str">
        <x:f>IF(D473="","",IFERROR(VLOOKUP(D473,'ERP account codes'!$A$5:$C$273,3,FALSE),"CHECK CODE"))</x:f>
      </x:c>
      <x:c r="D473" s="8" t="str"/>
      <x:c r="E473" s="11"/>
      <x:c r="F473" s="11"/>
      <x:c r="G473"/>
      <x:c r="H473"/>
      <x:c r="I473"/>
    </x:row>
    <x:row r="474">
      <x:c r="A474" s="8" t="str"/>
      <x:c r="B474" s="6" t="str"/>
      <x:c r="C474" s="9" t="str">
        <x:f>IF(D474="","",IFERROR(VLOOKUP(D474,'ERP account codes'!$A$5:$C$273,3,FALSE),"CHECK CODE"))</x:f>
      </x:c>
      <x:c r="D474" s="8" t="str"/>
      <x:c r="E474" s="11"/>
      <x:c r="F474" s="11"/>
      <x:c r="G474"/>
      <x:c r="H474"/>
      <x:c r="I474"/>
    </x:row>
    <x:row r="475">
      <x:c r="A475" s="8" t="str"/>
      <x:c r="B475" s="6" t="str"/>
      <x:c r="C475" s="9" t="str">
        <x:f>IF(D475="","",IFERROR(VLOOKUP(D475,'ERP account codes'!$A$5:$C$273,3,FALSE),"CHECK CODE"))</x:f>
      </x:c>
      <x:c r="D475" s="8" t="str"/>
      <x:c r="E475" s="11"/>
      <x:c r="F475" s="11"/>
      <x:c r="G475"/>
      <x:c r="H475"/>
      <x:c r="I475"/>
    </x:row>
    <x:row r="476">
      <x:c r="A476" s="8" t="str"/>
      <x:c r="B476" s="6" t="str"/>
      <x:c r="C476" s="9" t="str">
        <x:f>IF(D476="","",IFERROR(VLOOKUP(D476,'ERP account codes'!$A$5:$C$273,3,FALSE),"CHECK CODE"))</x:f>
      </x:c>
      <x:c r="D476" s="8" t="str"/>
      <x:c r="E476" s="11"/>
      <x:c r="F476" s="11"/>
      <x:c r="G476"/>
      <x:c r="H476"/>
      <x:c r="I476"/>
    </x:row>
    <x:row r="477">
      <x:c r="A477" s="8" t="str"/>
      <x:c r="B477" s="6" t="str"/>
      <x:c r="C477" s="9" t="str">
        <x:f>IF(D477="","",IFERROR(VLOOKUP(D477,'ERP account codes'!$A$5:$C$273,3,FALSE),"CHECK CODE"))</x:f>
      </x:c>
      <x:c r="D477" s="8" t="str"/>
      <x:c r="E477" s="11"/>
      <x:c r="F477" s="11"/>
      <x:c r="G477"/>
      <x:c r="H477"/>
      <x:c r="I477"/>
    </x:row>
    <x:row r="478">
      <x:c r="A478" s="8" t="str"/>
      <x:c r="B478" s="6" t="str"/>
      <x:c r="C478" s="9" t="str">
        <x:f>IF(D478="","",IFERROR(VLOOKUP(D478,'ERP account codes'!$A$5:$C$273,3,FALSE),"CHECK CODE"))</x:f>
      </x:c>
      <x:c r="D478" s="8" t="str"/>
      <x:c r="E478" s="11"/>
      <x:c r="F478" s="11"/>
      <x:c r="G478"/>
      <x:c r="H478"/>
      <x:c r="I478"/>
    </x:row>
    <x:row r="479">
      <x:c r="A479" s="8" t="str"/>
      <x:c r="B479" s="6" t="str"/>
      <x:c r="C479" s="9" t="str">
        <x:f>IF(D479="","",IFERROR(VLOOKUP(D479,'ERP account codes'!$A$5:$C$273,3,FALSE),"CHECK CODE"))</x:f>
      </x:c>
      <x:c r="D479" s="8" t="str"/>
      <x:c r="E479" s="11"/>
      <x:c r="F479" s="11"/>
      <x:c r="G479"/>
      <x:c r="H479"/>
      <x:c r="I479"/>
    </x:row>
    <x:row r="480">
      <x:c r="A480" s="8" t="str"/>
      <x:c r="B480" s="6" t="str"/>
      <x:c r="C480" s="9" t="str">
        <x:f>IF(D480="","",IFERROR(VLOOKUP(D480,'ERP account codes'!$A$5:$C$273,3,FALSE),"CHECK CODE"))</x:f>
      </x:c>
      <x:c r="D480" s="8" t="str"/>
      <x:c r="E480" s="11"/>
      <x:c r="F480" s="11"/>
      <x:c r="G480"/>
      <x:c r="H480"/>
      <x:c r="I480"/>
    </x:row>
    <x:row r="481">
      <x:c r="A481" s="8" t="str"/>
      <x:c r="B481" s="6" t="str"/>
      <x:c r="C481" s="9" t="str">
        <x:f>IF(D481="","",IFERROR(VLOOKUP(D481,'ERP account codes'!$A$5:$C$273,3,FALSE),"CHECK CODE"))</x:f>
      </x:c>
      <x:c r="D481" s="8" t="str"/>
      <x:c r="E481" s="11"/>
      <x:c r="F481" s="11"/>
      <x:c r="G481"/>
      <x:c r="H481"/>
      <x:c r="I481"/>
    </x:row>
    <x:row r="482">
      <x:c r="A482" s="8" t="str"/>
      <x:c r="B482" s="6" t="str"/>
      <x:c r="C482" s="9" t="str">
        <x:f>IF(D482="","",IFERROR(VLOOKUP(D482,'ERP account codes'!$A$5:$C$273,3,FALSE),"CHECK CODE"))</x:f>
      </x:c>
      <x:c r="D482" s="8" t="str"/>
      <x:c r="E482" s="11"/>
      <x:c r="F482" s="11"/>
      <x:c r="G482"/>
      <x:c r="H482"/>
      <x:c r="I482"/>
    </x:row>
    <x:row r="483">
      <x:c r="A483" s="8" t="str"/>
      <x:c r="B483" s="6" t="str"/>
      <x:c r="C483" s="9" t="str">
        <x:f>IF(D483="","",IFERROR(VLOOKUP(D483,'ERP account codes'!$A$5:$C$273,3,FALSE),"CHECK CODE"))</x:f>
      </x:c>
      <x:c r="D483" s="8" t="str"/>
      <x:c r="E483" s="11"/>
      <x:c r="F483" s="11"/>
      <x:c r="G483"/>
      <x:c r="H483"/>
      <x:c r="I483"/>
    </x:row>
    <x:row r="484">
      <x:c r="A484" s="8" t="str"/>
      <x:c r="B484" s="6" t="str"/>
      <x:c r="C484" s="9" t="str">
        <x:f>IF(D484="","",IFERROR(VLOOKUP(D484,'ERP account codes'!$A$5:$C$273,3,FALSE),"CHECK CODE"))</x:f>
      </x:c>
      <x:c r="D484" s="8" t="str"/>
      <x:c r="E484" s="11"/>
      <x:c r="F484" s="11"/>
      <x:c r="G484"/>
      <x:c r="H484"/>
      <x:c r="I484"/>
    </x:row>
    <x:row r="485">
      <x:c r="A485" s="8" t="str"/>
      <x:c r="B485" s="6" t="str"/>
      <x:c r="C485" s="9" t="str">
        <x:f>IF(D485="","",IFERROR(VLOOKUP(D485,'ERP account codes'!$A$5:$C$273,3,FALSE),"CHECK CODE"))</x:f>
      </x:c>
      <x:c r="D485" s="8" t="str"/>
      <x:c r="E485" s="11"/>
      <x:c r="F485" s="11"/>
      <x:c r="G485"/>
      <x:c r="H485"/>
      <x:c r="I485"/>
    </x:row>
    <x:row r="486">
      <x:c r="A486" s="8" t="str"/>
      <x:c r="B486" s="6" t="str"/>
      <x:c r="C486" s="9" t="str">
        <x:f>IF(D486="","",IFERROR(VLOOKUP(D486,'ERP account codes'!$A$5:$C$273,3,FALSE),"CHECK CODE"))</x:f>
      </x:c>
      <x:c r="D486" s="8" t="str"/>
      <x:c r="E486" s="11"/>
      <x:c r="F486" s="11"/>
      <x:c r="G486"/>
      <x:c r="H486"/>
      <x:c r="I486"/>
    </x:row>
    <x:row r="487">
      <x:c r="A487" s="8" t="str"/>
      <x:c r="B487" s="6" t="str"/>
      <x:c r="C487" s="9" t="str">
        <x:f>IF(D487="","",IFERROR(VLOOKUP(D487,'ERP account codes'!$A$5:$C$273,3,FALSE),"CHECK CODE"))</x:f>
      </x:c>
      <x:c r="D487" s="8" t="str"/>
      <x:c r="E487" s="11"/>
      <x:c r="F487" s="11"/>
      <x:c r="G487"/>
      <x:c r="H487"/>
      <x:c r="I487"/>
    </x:row>
    <x:row r="488">
      <x:c r="A488" s="8" t="str"/>
      <x:c r="B488" s="6" t="str"/>
      <x:c r="C488" s="9" t="str">
        <x:f>IF(D488="","",IFERROR(VLOOKUP(D488,'ERP account codes'!$A$5:$C$273,3,FALSE),"CHECK CODE"))</x:f>
      </x:c>
      <x:c r="D488" s="8" t="str"/>
      <x:c r="E488" s="11"/>
      <x:c r="F488" s="11"/>
      <x:c r="G488"/>
      <x:c r="H488"/>
      <x:c r="I488"/>
    </x:row>
    <x:row r="489">
      <x:c r="A489" s="8" t="str"/>
      <x:c r="B489" s="6" t="str"/>
      <x:c r="C489" s="9" t="str">
        <x:f>IF(D489="","",IFERROR(VLOOKUP(D489,'ERP account codes'!$A$5:$C$273,3,FALSE),"CHECK CODE"))</x:f>
      </x:c>
      <x:c r="D489" s="8" t="str"/>
      <x:c r="E489" s="11"/>
      <x:c r="F489" s="11"/>
      <x:c r="G489"/>
      <x:c r="H489"/>
      <x:c r="I489"/>
    </x:row>
    <x:row r="490">
      <x:c r="A490" s="8" t="str"/>
      <x:c r="B490" s="6" t="str"/>
      <x:c r="C490" s="9" t="str">
        <x:f>IF(D490="","",IFERROR(VLOOKUP(D490,'ERP account codes'!$A$5:$C$273,3,FALSE),"CHECK CODE"))</x:f>
      </x:c>
      <x:c r="D490" s="8" t="str"/>
      <x:c r="E490" s="11"/>
      <x:c r="F490" s="11"/>
      <x:c r="G490"/>
      <x:c r="H490"/>
      <x:c r="I490"/>
    </x:row>
    <x:row r="491">
      <x:c r="A491" s="8" t="str"/>
      <x:c r="B491" s="6" t="str"/>
      <x:c r="C491" s="9" t="str">
        <x:f>IF(D491="","",IFERROR(VLOOKUP(D491,'ERP account codes'!$A$5:$C$273,3,FALSE),"CHECK CODE"))</x:f>
      </x:c>
      <x:c r="D491" s="8" t="str"/>
      <x:c r="E491" s="11"/>
      <x:c r="F491" s="11"/>
      <x:c r="G491"/>
      <x:c r="H491"/>
      <x:c r="I491"/>
    </x:row>
    <x:row r="492">
      <x:c r="A492" s="8" t="str"/>
      <x:c r="B492" s="6" t="str"/>
      <x:c r="C492" s="9" t="str">
        <x:f>IF(D492="","",IFERROR(VLOOKUP(D492,'ERP account codes'!$A$5:$C$273,3,FALSE),"CHECK CODE"))</x:f>
      </x:c>
      <x:c r="D492" s="8" t="str"/>
      <x:c r="E492" s="11"/>
      <x:c r="F492" s="11"/>
      <x:c r="G492"/>
      <x:c r="H492"/>
      <x:c r="I492"/>
    </x:row>
    <x:row r="493">
      <x:c r="A493" s="8" t="str"/>
      <x:c r="B493" s="6" t="str"/>
      <x:c r="C493" s="9" t="str">
        <x:f>IF(D493="","",IFERROR(VLOOKUP(D493,'ERP account codes'!$A$5:$C$273,3,FALSE),"CHECK CODE"))</x:f>
      </x:c>
      <x:c r="D493" s="8" t="str"/>
      <x:c r="E493" s="11"/>
      <x:c r="F493" s="11"/>
      <x:c r="G493"/>
      <x:c r="H493"/>
      <x:c r="I493"/>
    </x:row>
    <x:row r="494">
      <x:c r="A494" s="8" t="str"/>
      <x:c r="B494" s="6" t="str"/>
      <x:c r="C494" s="9" t="str">
        <x:f>IF(D494="","",IFERROR(VLOOKUP(D494,'ERP account codes'!$A$5:$C$273,3,FALSE),"CHECK CODE"))</x:f>
      </x:c>
      <x:c r="D494" s="8" t="str"/>
      <x:c r="E494" s="11"/>
      <x:c r="F494" s="11"/>
      <x:c r="G494"/>
      <x:c r="H494"/>
      <x:c r="I494"/>
    </x:row>
    <x:row r="495">
      <x:c r="A495" s="8" t="str"/>
      <x:c r="B495" s="6" t="str"/>
      <x:c r="C495" s="9" t="str">
        <x:f>IF(D495="","",IFERROR(VLOOKUP(D495,'ERP account codes'!$A$5:$C$273,3,FALSE),"CHECK CODE"))</x:f>
      </x:c>
      <x:c r="D495" s="8" t="str"/>
      <x:c r="E495" s="11"/>
      <x:c r="F495" s="11"/>
      <x:c r="G495"/>
      <x:c r="H495"/>
      <x:c r="I495"/>
    </x:row>
    <x:row r="496">
      <x:c r="A496" s="8" t="str"/>
      <x:c r="B496" s="6" t="str"/>
      <x:c r="C496" s="9" t="str">
        <x:f>IF(D496="","",IFERROR(VLOOKUP(D496,'ERP account codes'!$A$5:$C$273,3,FALSE),"CHECK CODE"))</x:f>
      </x:c>
      <x:c r="D496" s="8" t="str"/>
      <x:c r="E496" s="11"/>
      <x:c r="F496" s="11"/>
      <x:c r="G496"/>
      <x:c r="H496"/>
      <x:c r="I496"/>
    </x:row>
    <x:row r="497">
      <x:c r="A497" s="8" t="str"/>
      <x:c r="B497" s="6" t="str"/>
      <x:c r="C497" s="9" t="str">
        <x:f>IF(D497="","",IFERROR(VLOOKUP(D497,'ERP account codes'!$A$5:$C$273,3,FALSE),"CHECK CODE"))</x:f>
      </x:c>
      <x:c r="D497" s="8" t="str"/>
      <x:c r="E497" s="11"/>
      <x:c r="F497" s="11"/>
      <x:c r="G497"/>
      <x:c r="H497"/>
      <x:c r="I497"/>
    </x:row>
    <x:row r="498">
      <x:c r="A498" s="8" t="str"/>
      <x:c r="B498" s="6" t="str"/>
      <x:c r="C498" s="9" t="str">
        <x:f>IF(D498="","",IFERROR(VLOOKUP(D498,'ERP account codes'!$A$5:$C$273,3,FALSE),"CHECK CODE"))</x:f>
      </x:c>
      <x:c r="D498" s="8" t="str"/>
      <x:c r="E498" s="11"/>
      <x:c r="F498" s="11"/>
      <x:c r="G498"/>
      <x:c r="H498"/>
      <x:c r="I498"/>
    </x:row>
    <x:row r="499">
      <x:c r="A499" s="8" t="str"/>
      <x:c r="B499" s="6" t="str"/>
      <x:c r="C499" s="9" t="str">
        <x:f>IF(D499="","",IFERROR(VLOOKUP(D499,'ERP account codes'!$A$5:$C$273,3,FALSE),"CHECK CODE"))</x:f>
      </x:c>
      <x:c r="D499" s="8" t="str"/>
      <x:c r="E499" s="11"/>
      <x:c r="F499" s="11"/>
      <x:c r="G499"/>
      <x:c r="H499"/>
      <x:c r="I499"/>
    </x:row>
    <x:row r="500">
      <x:c r="A500" s="8" t="str"/>
      <x:c r="B500" s="6" t="str"/>
      <x:c r="C500" s="9" t="str">
        <x:f>IF(D500="","",IFERROR(VLOOKUP(D500,'ERP account codes'!$A$5:$C$273,3,FALSE),"CHECK CODE"))</x:f>
      </x:c>
      <x:c r="D500" s="8" t="str"/>
      <x:c r="E500" s="11"/>
      <x:c r="F500" s="11"/>
      <x:c r="G500"/>
      <x:c r="H500"/>
      <x:c r="I500"/>
    </x:row>
    <x:row r="501">
      <x:c r="A501" s="8" t="str"/>
      <x:c r="B501" s="6" t="str"/>
      <x:c r="C501" s="9" t="str">
        <x:f>IF(D501="","",IFERROR(VLOOKUP(D501,'ERP account codes'!$A$5:$C$273,3,FALSE),"CHECK CODE"))</x:f>
      </x:c>
      <x:c r="D501" s="8" t="str"/>
      <x:c r="E501" s="11"/>
      <x:c r="F501" s="11"/>
      <x:c r="G501"/>
      <x:c r="H501"/>
      <x:c r="I501"/>
    </x:row>
  </x:sheetData>
  <x:dataValidations count="1">
    <x:dataValidation type="list" sqref="D2:D501">
      <x:formula1>ERP_TB_Item_Codes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625595908b40c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 ht="28" customHeight="1">
      <x:c r="A1" s="14" t="str">
        <x:v>Opening TB</x:v>
      </x:c>
      <x:c r="B1" s="14" t="str">
        <x:v>How to complete this template</x:v>
      </x:c>
    </x:row>
    <x:row r="2" ht="30" customHeight="1">
      <x:c r="A2" s="17" t="str">
        <x:v>Use</x:v>
      </x:c>
      <x:c r="B2" s="18" t="str">
        <x:v>Enter the immediately preceding year’s final approved closing balances. The ERP period supplies the opening date and client.</x:v>
      </x:c>
    </x:row>
    <x:row r="3" ht="30" customHeight="1">
      <x:c r="A3" s="17" t="str">
        <x:v>Source account code</x:v>
      </x:c>
      <x:c r="B3" s="18" t="str">
        <x:v>Copy the account code from the prior-year trial balance. Leave blank only if the source has no code.</x:v>
      </x:c>
    </x:row>
    <x:row r="4" ht="30" customHeight="1">
      <x:c r="A4" s="17" t="str">
        <x:v>Source account name</x:v>
      </x:c>
      <x:c r="B4" s="18" t="str">
        <x:v>Copy the account name as it appears in the client’s trial balance.</x:v>
      </x:c>
    </x:row>
    <x:row r="5" ht="30" customHeight="1">
      <x:c r="A5" s="17" t="str">
        <x:v>ERP TB item code</x:v>
      </x:c>
      <x:c r="B5" s="18" t="str">
        <x:v>Choose the matching active ERP account code. The ERP routing code fills automatically and is checked against the account.</x:v>
      </x:c>
    </x:row>
    <x:row r="6" ht="30" customHeight="1">
      <x:c r="A6" s="17" t="str">
        <x:v>Debit and credit</x:v>
      </x:c>
      <x:c r="B6" s="18" t="str">
        <x:v>Enter positive amounts in one column; use 0 in the other. Omit totals. Include any “Difference in Books” row. The ERP checks it but does not post it.</x:v>
      </x:c>
    </x:row>
    <x:row r="7" ht="30" customHeight="1">
      <x:c r="A7" s="17" t="str">
        <x:v>Upload evidence</x:v>
      </x:c>
      <x:c r="B7" s="18" t="str">
        <x:v>In the ERP, enter the source workbook and approval reference once, then confirm it is the final approved prior-year trial balance. The ERP keeps each Excel row reference automatically.</x:v>
      </x:c>
    </x:row>
    <x:row r="8" ht="30" customHeight="1">
      <x:c r="A8" s="17" t="str">
        <x:v>Control</x:v>
      </x:c>
      <x:c r="B8" s="18" t="str">
        <x:v>Debits and credits must agree. Reconcile any nonzero “Difference in Books” before approval. The ERP does not add a suspense or balancing amount.</x:v>
      </x:c>
    </x:row>
    <x:row r="9" ht="30" customHeight="1">
      <x:c r="A9" s="17" t="str">
        <x:v>Approval</x:v>
      </x:c>
      <x:c r="B9" s="18" t="str">
        <x:v>Upload creates a draft. A different Manager or Partner checks and posts it. Uploading does not post a journal.</x:v>
      </x:c>
    </x:row>
    <x:row r="10" ht="30" customHeight="1">
      <x:c r="A10" s="17" t="str">
        <x:v>Blank cells</x:v>
      </x:c>
      <x:c r="B10" s="18" t="str">
        <x:v>Do not type N/A. Leave the source account code blank only when the source has no code. Enter 0 in the unused Debit or Credit side.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40" hidden="0" customWidth="1"/>
    <x:col min="3" max="3" width="20" hidden="0" customWidth="1"/>
    <x:col min="4" max="4" width="25" hidden="0" customWidth="1"/>
    <x:col min="5" max="5" width="36" hidden="0" customWidth="1"/>
    <x:col min="6" max="6" width="14" hidden="0" customWidth="1"/>
  </x:cols>
  <x:sheetData>
    <x:row r="1">
      <x:c r="A1" s="14" t="str">
        <x:v>ERP chart of accounts</x:v>
      </x:c>
      <x:c r="B1" s="14"/>
      <x:c r="C1" s="14"/>
      <x:c r="D1" s="14"/>
      <x:c r="E1" s="14"/>
      <x:c r="F1" s="14"/>
    </x:row>
    <x:row r="2">
      <x:c r="A2" s="24" t="str">
        <x:v>Use the ERP TB item code dropdown on the Opening TB sheet. Routing code is filled from this list.</x:v>
      </x:c>
      <x:c r="B2" s="24"/>
      <x:c r="C2" s="24"/>
      <x:c r="D2" s="24"/>
      <x:c r="E2" s="24"/>
      <x:c r="F2" s="24"/>
    </x:row>
    <x:row r="3">
      <x:c r="A3" s="24"/>
      <x:c r="B3" s="24"/>
      <x:c r="C3" s="24"/>
      <x:c r="D3" s="24"/>
      <x:c r="E3" s="24"/>
      <x:c r="F3" s="24"/>
    </x:row>
    <x:row r="4">
      <x:c r="A4" s="22" t="str">
        <x:v>ERP TB item code</x:v>
      </x:c>
      <x:c r="B4" s="22" t="str">
        <x:v>Account name</x:v>
      </x:c>
      <x:c r="C4" s="22" t="str">
        <x:v>Routing code</x:v>
      </x:c>
      <x:c r="D4" s="22" t="str">
        <x:v>Account group</x:v>
      </x:c>
      <x:c r="E4" s="22" t="str">
        <x:v>Statement</x:v>
      </x:c>
      <x:c r="F4" s="22" t="str">
        <x:v>Status</x:v>
      </x:c>
    </x:row>
    <x:row r="5">
      <x:c r="A5" s="25" t="str">
        <x:v>10000</x:v>
      </x:c>
      <x:c r="B5" s="24" t="str">
        <x:v>Cash on hand</x:v>
      </x:c>
      <x:c r="C5" s="24" t="str">
        <x:v>ASSET</x:v>
      </x:c>
      <x:c r="D5" s="24" t="str">
        <x:v>Current assets</x:v>
      </x:c>
      <x:c r="E5" s="24" t="str">
        <x:v>Statement of financial position</x:v>
      </x:c>
      <x:c r="F5" s="24"/>
    </x:row>
    <x:row r="6">
      <x:c r="A6" s="25" t="str">
        <x:v>10010</x:v>
      </x:c>
      <x:c r="B6" s="24" t="str">
        <x:v>Petty cash</x:v>
      </x:c>
      <x:c r="C6" s="24" t="str">
        <x:v>ASSET</x:v>
      </x:c>
      <x:c r="D6" s="24" t="str">
        <x:v>Current assets</x:v>
      </x:c>
      <x:c r="E6" s="24" t="str">
        <x:v>Statement of financial position</x:v>
      </x:c>
      <x:c r="F6" s="24"/>
    </x:row>
    <x:row r="7">
      <x:c r="A7" s="25" t="str">
        <x:v>10020</x:v>
      </x:c>
      <x:c r="B7" s="24" t="str">
        <x:v>Bank - operating</x:v>
      </x:c>
      <x:c r="C7" s="24" t="str">
        <x:v>ASSET</x:v>
      </x:c>
      <x:c r="D7" s="24" t="str">
        <x:v>Current assets</x:v>
      </x:c>
      <x:c r="E7" s="24" t="str">
        <x:v>Statement of financial position</x:v>
      </x:c>
      <x:c r="F7" s="24"/>
    </x:row>
    <x:row r="8">
      <x:c r="A8" s="25" t="str">
        <x:v>10030</x:v>
      </x:c>
      <x:c r="B8" s="24" t="str">
        <x:v>Bank - savings</x:v>
      </x:c>
      <x:c r="C8" s="24" t="str">
        <x:v>ASSET</x:v>
      </x:c>
      <x:c r="D8" s="24" t="str">
        <x:v>Current assets</x:v>
      </x:c>
      <x:c r="E8" s="24" t="str">
        <x:v>Statement of financial position</x:v>
      </x:c>
      <x:c r="F8" s="24"/>
    </x:row>
    <x:row r="9">
      <x:c r="A9" s="25" t="str">
        <x:v>10040</x:v>
      </x:c>
      <x:c r="B9" s="24" t="str">
        <x:v>Mobile money / payment gateways</x:v>
      </x:c>
      <x:c r="C9" s="24" t="str">
        <x:v>ASSET</x:v>
      </x:c>
      <x:c r="D9" s="24" t="str">
        <x:v>Current assets</x:v>
      </x:c>
      <x:c r="E9" s="24" t="str">
        <x:v>Statement of financial position</x:v>
      </x:c>
      <x:c r="F9" s="24"/>
    </x:row>
    <x:row r="10">
      <x:c r="A10" s="25" t="str">
        <x:v>10050</x:v>
      </x:c>
      <x:c r="B10" s="24" t="str">
        <x:v>Undeposited collections</x:v>
      </x:c>
      <x:c r="C10" s="24" t="str">
        <x:v>ASSET</x:v>
      </x:c>
      <x:c r="D10" s="24" t="str">
        <x:v>Current assets</x:v>
      </x:c>
      <x:c r="E10" s="24" t="str">
        <x:v>Statement of financial position</x:v>
      </x:c>
      <x:c r="F10" s="24"/>
    </x:row>
    <x:row r="11">
      <x:c r="A11" s="25" t="str">
        <x:v>10060</x:v>
      </x:c>
      <x:c r="B11" s="24" t="str">
        <x:v>Trade receivables</x:v>
      </x:c>
      <x:c r="C11" s="24" t="str">
        <x:v>ASSET</x:v>
      </x:c>
      <x:c r="D11" s="24" t="str">
        <x:v>Current assets</x:v>
      </x:c>
      <x:c r="E11" s="24" t="str">
        <x:v>Statement of financial position</x:v>
      </x:c>
      <x:c r="F11" s="24"/>
    </x:row>
    <x:row r="12">
      <x:c r="A12" s="25" t="str">
        <x:v>10070</x:v>
      </x:c>
      <x:c r="B12" s="24" t="str">
        <x:v>Other receivables</x:v>
      </x:c>
      <x:c r="C12" s="24" t="str">
        <x:v>ASSET</x:v>
      </x:c>
      <x:c r="D12" s="24" t="str">
        <x:v>Current assets</x:v>
      </x:c>
      <x:c r="E12" s="24" t="str">
        <x:v>Statement of financial position</x:v>
      </x:c>
      <x:c r="F12" s="24"/>
    </x:row>
    <x:row r="13">
      <x:c r="A13" s="25" t="str">
        <x:v>10080</x:v>
      </x:c>
      <x:c r="B13" s="24" t="str">
        <x:v>Staff advances</x:v>
      </x:c>
      <x:c r="C13" s="24" t="str">
        <x:v>ASSET</x:v>
      </x:c>
      <x:c r="D13" s="24" t="str">
        <x:v>Current assets</x:v>
      </x:c>
      <x:c r="E13" s="24" t="str">
        <x:v>Statement of financial position</x:v>
      </x:c>
      <x:c r="F13" s="24"/>
    </x:row>
    <x:row r="14">
      <x:c r="A14" s="25" t="str">
        <x:v>10090</x:v>
      </x:c>
      <x:c r="B14" s="24" t="str">
        <x:v>Prepayments</x:v>
      </x:c>
      <x:c r="C14" s="24" t="str">
        <x:v>ASSET</x:v>
      </x:c>
      <x:c r="D14" s="24" t="str">
        <x:v>Current assets</x:v>
      </x:c>
      <x:c r="E14" s="24" t="str">
        <x:v>Statement of financial position</x:v>
      </x:c>
      <x:c r="F14" s="24"/>
    </x:row>
    <x:row r="15">
      <x:c r="A15" s="25" t="str">
        <x:v>10100</x:v>
      </x:c>
      <x:c r="B15" s="24" t="str">
        <x:v>Supplier advances</x:v>
      </x:c>
      <x:c r="C15" s="24" t="str">
        <x:v>ASSET</x:v>
      </x:c>
      <x:c r="D15" s="24" t="str">
        <x:v>Current assets</x:v>
      </x:c>
      <x:c r="E15" s="24" t="str">
        <x:v>Statement of financial position</x:v>
      </x:c>
      <x:c r="F15" s="24"/>
    </x:row>
    <x:row r="16">
      <x:c r="A16" s="25" t="str">
        <x:v>10110</x:v>
      </x:c>
      <x:c r="B16" s="24" t="str">
        <x:v>Deposits paid</x:v>
      </x:c>
      <x:c r="C16" s="24" t="str">
        <x:v>ASSET</x:v>
      </x:c>
      <x:c r="D16" s="24" t="str">
        <x:v>Current assets</x:v>
      </x:c>
      <x:c r="E16" s="24" t="str">
        <x:v>Statement of financial position</x:v>
      </x:c>
      <x:c r="F16" s="24"/>
    </x:row>
    <x:row r="17">
      <x:c r="A17" s="25" t="str">
        <x:v>10120</x:v>
      </x:c>
      <x:c r="B17" s="24" t="str">
        <x:v>Intercompany receivables</x:v>
      </x:c>
      <x:c r="C17" s="24" t="str">
        <x:v>ASSET</x:v>
      </x:c>
      <x:c r="D17" s="24" t="str">
        <x:v>Current assets</x:v>
      </x:c>
      <x:c r="E17" s="24" t="str">
        <x:v>Statement of financial position</x:v>
      </x:c>
      <x:c r="F17" s="24"/>
    </x:row>
    <x:row r="18">
      <x:c r="A18" s="25" t="str">
        <x:v>10130</x:v>
      </x:c>
      <x:c r="B18" s="24" t="str">
        <x:v>WHT income tax receivable</x:v>
      </x:c>
      <x:c r="C18" s="24" t="str">
        <x:v>ASSET</x:v>
      </x:c>
      <x:c r="D18" s="24" t="str">
        <x:v>Current assets</x:v>
      </x:c>
      <x:c r="E18" s="24" t="str">
        <x:v>Statement of financial position</x:v>
      </x:c>
      <x:c r="F18" s="24"/>
    </x:row>
    <x:row r="19">
      <x:c r="A19" s="25" t="str">
        <x:v>10140</x:v>
      </x:c>
      <x:c r="B19" s="24" t="str">
        <x:v>Instalment tax prepaid</x:v>
      </x:c>
      <x:c r="C19" s="24" t="str">
        <x:v>ASSET</x:v>
      </x:c>
      <x:c r="D19" s="24" t="str">
        <x:v>Current assets</x:v>
      </x:c>
      <x:c r="E19" s="24" t="str">
        <x:v>Statement of financial position</x:v>
      </x:c>
      <x:c r="F19" s="24"/>
    </x:row>
    <x:row r="20">
      <x:c r="A20" s="25" t="str">
        <x:v>10150</x:v>
      </x:c>
      <x:c r="B20" s="24" t="str">
        <x:v>Advance tax credit</x:v>
      </x:c>
      <x:c r="C20" s="24" t="str">
        <x:v>ASSET</x:v>
      </x:c>
      <x:c r="D20" s="24" t="str">
        <x:v>Current assets</x:v>
      </x:c>
      <x:c r="E20" s="24" t="str">
        <x:v>Statement of financial position</x:v>
      </x:c>
      <x:c r="F20" s="24"/>
    </x:row>
    <x:row r="21">
      <x:c r="A21" s="25" t="str">
        <x:v>10160</x:v>
      </x:c>
      <x:c r="B21" s="24" t="str">
        <x:v>VAT input recoverable</x:v>
      </x:c>
      <x:c r="C21" s="24" t="str">
        <x:v>ASSET</x:v>
      </x:c>
      <x:c r="D21" s="24" t="str">
        <x:v>Current assets</x:v>
      </x:c>
      <x:c r="E21" s="24" t="str">
        <x:v>Statement of financial position</x:v>
      </x:c>
      <x:c r="F21" s="24"/>
    </x:row>
    <x:row r="22">
      <x:c r="A22" s="25" t="str">
        <x:v>10170</x:v>
      </x:c>
      <x:c r="B22" s="24" t="str">
        <x:v>VAT withheld by customers</x:v>
      </x:c>
      <x:c r="C22" s="24" t="str">
        <x:v>ASSET</x:v>
      </x:c>
      <x:c r="D22" s="24" t="str">
        <x:v>Current assets</x:v>
      </x:c>
      <x:c r="E22" s="24" t="str">
        <x:v>Statement of financial position</x:v>
      </x:c>
      <x:c r="F22" s="24"/>
    </x:row>
    <x:row r="23">
      <x:c r="A23" s="25" t="str">
        <x:v>10180</x:v>
      </x:c>
      <x:c r="B23" s="24" t="str">
        <x:v>Excise duty recoverable</x:v>
      </x:c>
      <x:c r="C23" s="24" t="str">
        <x:v>ASSET</x:v>
      </x:c>
      <x:c r="D23" s="24" t="str">
        <x:v>Current assets</x:v>
      </x:c>
      <x:c r="E23" s="24" t="str">
        <x:v>Statement of financial position</x:v>
      </x:c>
      <x:c r="F23" s="24"/>
    </x:row>
    <x:row r="24">
      <x:c r="A24" s="25" t="str">
        <x:v>10190</x:v>
      </x:c>
      <x:c r="B24" s="24" t="str">
        <x:v>Inventory - merchandise</x:v>
      </x:c>
      <x:c r="C24" s="24" t="str">
        <x:v>ASSET</x:v>
      </x:c>
      <x:c r="D24" s="24" t="str">
        <x:v>Current assets</x:v>
      </x:c>
      <x:c r="E24" s="24" t="str">
        <x:v>Statement of financial position</x:v>
      </x:c>
      <x:c r="F24" s="24"/>
    </x:row>
    <x:row r="25">
      <x:c r="A25" s="25" t="str">
        <x:v>10200</x:v>
      </x:c>
      <x:c r="B25" s="24" t="str">
        <x:v>Inventory - raw materials</x:v>
      </x:c>
      <x:c r="C25" s="24" t="str">
        <x:v>ASSET</x:v>
      </x:c>
      <x:c r="D25" s="24" t="str">
        <x:v>Current assets</x:v>
      </x:c>
      <x:c r="E25" s="24" t="str">
        <x:v>Statement of financial position</x:v>
      </x:c>
      <x:c r="F25" s="24"/>
    </x:row>
    <x:row r="26">
      <x:c r="A26" s="25" t="str">
        <x:v>10210</x:v>
      </x:c>
      <x:c r="B26" s="24" t="str">
        <x:v>Inventory - work in progress</x:v>
      </x:c>
      <x:c r="C26" s="24" t="str">
        <x:v>ASSET</x:v>
      </x:c>
      <x:c r="D26" s="24" t="str">
        <x:v>Current assets</x:v>
      </x:c>
      <x:c r="E26" s="24" t="str">
        <x:v>Statement of financial position</x:v>
      </x:c>
      <x:c r="F26" s="24"/>
    </x:row>
    <x:row r="27">
      <x:c r="A27" s="25" t="str">
        <x:v>10220</x:v>
      </x:c>
      <x:c r="B27" s="24" t="str">
        <x:v>Inventory - finished goods</x:v>
      </x:c>
      <x:c r="C27" s="24" t="str">
        <x:v>ASSET</x:v>
      </x:c>
      <x:c r="D27" s="24" t="str">
        <x:v>Current assets</x:v>
      </x:c>
      <x:c r="E27" s="24" t="str">
        <x:v>Statement of financial position</x:v>
      </x:c>
      <x:c r="F27" s="24"/>
    </x:row>
    <x:row r="28">
      <x:c r="A28" s="25" t="str">
        <x:v>10230</x:v>
      </x:c>
      <x:c r="B28" s="24" t="str">
        <x:v>Inventory - packaging</x:v>
      </x:c>
      <x:c r="C28" s="24" t="str">
        <x:v>ASSET</x:v>
      </x:c>
      <x:c r="D28" s="24" t="str">
        <x:v>Current assets</x:v>
      </x:c>
      <x:c r="E28" s="24" t="str">
        <x:v>Statement of financial position</x:v>
      </x:c>
      <x:c r="F28" s="24"/>
    </x:row>
    <x:row r="29">
      <x:c r="A29" s="25" t="str">
        <x:v>10240</x:v>
      </x:c>
      <x:c r="B29" s="24" t="str">
        <x:v>Goods in transit</x:v>
      </x:c>
      <x:c r="C29" s="24" t="str">
        <x:v>ASSET</x:v>
      </x:c>
      <x:c r="D29" s="24" t="str">
        <x:v>Current assets</x:v>
      </x:c>
      <x:c r="E29" s="24" t="str">
        <x:v>Statement of financial position</x:v>
      </x:c>
      <x:c r="F29" s="24"/>
    </x:row>
    <x:row r="30">
      <x:c r="A30" s="25" t="str">
        <x:v>10250</x:v>
      </x:c>
      <x:c r="B30" s="24" t="str">
        <x:v>Inventory write-down allowance</x:v>
      </x:c>
      <x:c r="C30" s="24" t="str">
        <x:v>ASSET</x:v>
      </x:c>
      <x:c r="D30" s="24" t="str">
        <x:v>Current assets</x:v>
      </x:c>
      <x:c r="E30" s="24" t="str">
        <x:v>Statement of financial position</x:v>
      </x:c>
      <x:c r="F30" s="24"/>
    </x:row>
    <x:row r="31">
      <x:c r="A31" s="25" t="str">
        <x:v>15001</x:v>
      </x:c>
      <x:c r="B31" s="24" t="str">
        <x:v>Land</x:v>
      </x:c>
      <x:c r="C31" s="24" t="str">
        <x:v>PPE00</x:v>
      </x:c>
      <x:c r="D31" s="24" t="str">
        <x:v>Non-current assets</x:v>
      </x:c>
      <x:c r="E31" s="24" t="str">
        <x:v>Statement of financial position</x:v>
      </x:c>
      <x:c r="F31" s="24"/>
    </x:row>
    <x:row r="32">
      <x:c r="A32" s="25" t="str">
        <x:v>15002</x:v>
      </x:c>
      <x:c r="B32" s="24" t="str">
        <x:v>Commercial / educational / industrial buildings</x:v>
      </x:c>
      <x:c r="C32" s="24" t="str">
        <x:v>PPE10B</x:v>
      </x:c>
      <x:c r="D32" s="24" t="str">
        <x:v>Non-current assets</x:v>
      </x:c>
      <x:c r="E32" s="24" t="str">
        <x:v>Statement of financial position</x:v>
      </x:c>
      <x:c r="F32" s="24"/>
    </x:row>
    <x:row r="33">
      <x:c r="A33" s="25" t="str">
        <x:v>15003</x:v>
      </x:c>
      <x:c r="B33" s="24" t="str">
        <x:v>Qualifying manufacturing / hospital plant</x:v>
      </x:c>
      <x:c r="C33" s="24" t="str">
        <x:v>PPE50Q</x:v>
      </x:c>
      <x:c r="D33" s="24" t="str">
        <x:v>Non-current assets</x:v>
      </x:c>
      <x:c r="E33" s="24" t="str">
        <x:v>Statement of financial position</x:v>
      </x:c>
      <x:c r="F33" s="24"/>
    </x:row>
    <x:row r="34">
      <x:c r="A34" s="25" t="str">
        <x:v>15004</x:v>
      </x:c>
      <x:c r="B34" s="24" t="str">
        <x:v>Motor vehicles and heavy earthmoving equipment</x:v>
      </x:c>
      <x:c r="C34" s="24" t="str">
        <x:v>PPE25V</x:v>
      </x:c>
      <x:c r="D34" s="24" t="str">
        <x:v>Non-current assets</x:v>
      </x:c>
      <x:c r="E34" s="24" t="str">
        <x:v>Statement of financial position</x:v>
      </x:c>
      <x:c r="F34" s="24"/>
    </x:row>
    <x:row r="35">
      <x:c r="A35" s="25" t="str">
        <x:v>15005</x:v>
      </x:c>
      <x:c r="B35" s="24" t="str">
        <x:v>Furniture and fittings</x:v>
      </x:c>
      <x:c r="C35" s="24" t="str">
        <x:v>PPE10M</x:v>
      </x:c>
      <x:c r="D35" s="24" t="str">
        <x:v>Non-current assets</x:v>
      </x:c>
      <x:c r="E35" s="24" t="str">
        <x:v>Statement of financial position</x:v>
      </x:c>
      <x:c r="F35" s="24"/>
    </x:row>
    <x:row r="36">
      <x:c r="A36" s="25" t="str">
        <x:v>15006</x:v>
      </x:c>
      <x:c r="B36" s="24" t="str">
        <x:v>Computers, peripherals and copiers</x:v>
      </x:c>
      <x:c r="C36" s="24" t="str">
        <x:v>PPE25C</x:v>
      </x:c>
      <x:c r="D36" s="24" t="str">
        <x:v>Non-current assets</x:v>
      </x:c>
      <x:c r="E36" s="24" t="str">
        <x:v>Statement of financial position</x:v>
      </x:c>
      <x:c r="F36" s="24"/>
    </x:row>
    <x:row r="37">
      <x:c r="A37" s="25" t="str">
        <x:v>15007</x:v>
      </x:c>
      <x:c r="B37" s="24" t="str">
        <x:v>Other equipment / electronics</x:v>
      </x:c>
      <x:c r="C37" s="24" t="str">
        <x:v>PPER</x:v>
      </x:c>
      <x:c r="D37" s="24" t="str">
        <x:v>Non-current assets</x:v>
      </x:c>
      <x:c r="E37" s="24" t="str">
        <x:v>Statement of financial position</x:v>
      </x:c>
      <x:c r="F37" s="24"/>
    </x:row>
    <x:row r="38">
      <x:c r="A38" s="25" t="str">
        <x:v>15008</x:v>
      </x:c>
      <x:c r="B38" s="24" t="str">
        <x:v>Qualifying computer software</x:v>
      </x:c>
      <x:c r="C38" s="24" t="str">
        <x:v>PPE25S</x:v>
      </x:c>
      <x:c r="D38" s="24" t="str">
        <x:v>Non-current assets</x:v>
      </x:c>
      <x:c r="E38" s="24" t="str">
        <x:v>Statement of financial position</x:v>
      </x:c>
      <x:c r="F38" s="24"/>
    </x:row>
    <x:row r="39">
      <x:c r="A39" s="25" t="str">
        <x:v>15009</x:v>
      </x:c>
      <x:c r="B39" s="24" t="str">
        <x:v>Hotel / manufacturing / hospital buildings</x:v>
      </x:c>
      <x:c r="C39" s="24" t="str">
        <x:v>PPE50Q</x:v>
      </x:c>
      <x:c r="D39" s="24" t="str">
        <x:v>Non-current assets</x:v>
      </x:c>
      <x:c r="E39" s="24" t="str">
        <x:v>Statement of financial position</x:v>
      </x:c>
      <x:c r="F39" s="24"/>
    </x:row>
    <x:row r="40">
      <x:c r="A40" s="25" t="str">
        <x:v>15010</x:v>
      </x:c>
      <x:c r="B40" s="24" t="str">
        <x:v>Telecommunications equipment</x:v>
      </x:c>
      <x:c r="C40" s="24" t="str">
        <x:v>PPE10M</x:v>
      </x:c>
      <x:c r="D40" s="24" t="str">
        <x:v>Non-current assets</x:v>
      </x:c>
      <x:c r="E40" s="24" t="str">
        <x:v>Statement of financial position</x:v>
      </x:c>
      <x:c r="F40" s="24"/>
    </x:row>
    <x:row r="41">
      <x:c r="A41" s="25" t="str">
        <x:v>15011</x:v>
      </x:c>
      <x:c r="B41" s="24" t="str">
        <x:v>Farmworks and agricultural structures</x:v>
      </x:c>
      <x:c r="C41" s="24" t="str">
        <x:v>PPE50F</x:v>
      </x:c>
      <x:c r="D41" s="24" t="str">
        <x:v>Non-current assets</x:v>
      </x:c>
      <x:c r="E41" s="24" t="str">
        <x:v>Statement of financial position</x:v>
      </x:c>
      <x:c r="F41" s="24"/>
    </x:row>
    <x:row r="42">
      <x:c r="A42" s="25" t="str">
        <x:v>15012</x:v>
      </x:c>
      <x:c r="B42" s="24" t="str">
        <x:v>Leasehold improvements</x:v>
      </x:c>
      <x:c r="C42" s="24" t="str">
        <x:v>PPER</x:v>
      </x:c>
      <x:c r="D42" s="24" t="str">
        <x:v>Non-current assets</x:v>
      </x:c>
      <x:c r="E42" s="24" t="str">
        <x:v>Statement of financial position</x:v>
      </x:c>
      <x:c r="F42" s="24"/>
    </x:row>
    <x:row r="43">
      <x:c r="A43" s="25" t="str">
        <x:v>15013</x:v>
      </x:c>
      <x:c r="B43" s="24" t="str">
        <x:v>Right-of-use assets</x:v>
      </x:c>
      <x:c r="C43" s="24" t="str">
        <x:v>PPER</x:v>
      </x:c>
      <x:c r="D43" s="24" t="str">
        <x:v>Non-current assets</x:v>
      </x:c>
      <x:c r="E43" s="24" t="str">
        <x:v>Statement of financial position</x:v>
      </x:c>
      <x:c r="F43" s="24"/>
    </x:row>
    <x:row r="44">
      <x:c r="A44" s="25" t="str">
        <x:v>15014</x:v>
      </x:c>
      <x:c r="B44" s="24" t="str">
        <x:v>Assets under construction</x:v>
      </x:c>
      <x:c r="C44" s="24" t="str">
        <x:v>PPER</x:v>
      </x:c>
      <x:c r="D44" s="24" t="str">
        <x:v>Non-current assets</x:v>
      </x:c>
      <x:c r="E44" s="24" t="str">
        <x:v>Statement of financial position</x:v>
      </x:c>
      <x:c r="F44" s="24"/>
    </x:row>
    <x:row r="45">
      <x:c r="A45" s="25" t="str">
        <x:v>15015</x:v>
      </x:c>
      <x:c r="B45" s="24" t="str">
        <x:v>Power and energy equipment</x:v>
      </x:c>
      <x:c r="C45" s="24" t="str">
        <x:v>PPER</x:v>
      </x:c>
      <x:c r="D45" s="24" t="str">
        <x:v>Non-current assets</x:v>
      </x:c>
      <x:c r="E45" s="24" t="str">
        <x:v>Statement of financial position</x:v>
      </x:c>
      <x:c r="F45" s="24"/>
    </x:row>
    <x:row r="46">
      <x:c r="A46" s="25" t="str">
        <x:v>15016</x:v>
      </x:c>
      <x:c r="B46" s="24" t="str">
        <x:v>Medical equipment</x:v>
      </x:c>
      <x:c r="C46" s="24" t="str">
        <x:v>PPE50Q</x:v>
      </x:c>
      <x:c r="D46" s="24" t="str">
        <x:v>Non-current assets</x:v>
      </x:c>
      <x:c r="E46" s="24" t="str">
        <x:v>Statement of financial position</x:v>
      </x:c>
      <x:c r="F46" s="24"/>
    </x:row>
    <x:row r="47">
      <x:c r="A47" s="25" t="str">
        <x:v>15017</x:v>
      </x:c>
      <x:c r="B47" s="24" t="str">
        <x:v>Office plant and machinery</x:v>
      </x:c>
      <x:c r="C47" s="24" t="str">
        <x:v>PPE10M</x:v>
      </x:c>
      <x:c r="D47" s="24" t="str">
        <x:v>Non-current assets</x:v>
      </x:c>
      <x:c r="E47" s="24" t="str">
        <x:v>Statement of financial position</x:v>
      </x:c>
      <x:c r="F47" s="24"/>
    </x:row>
    <x:row r="48">
      <x:c r="A48" s="25" t="str">
        <x:v>15018</x:v>
      </x:c>
      <x:c r="B48" s="24" t="str">
        <x:v>Investment property</x:v>
      </x:c>
      <x:c r="C48" s="24" t="str">
        <x:v>PPER</x:v>
      </x:c>
      <x:c r="D48" s="24" t="str">
        <x:v>Non-current assets</x:v>
      </x:c>
      <x:c r="E48" s="24" t="str">
        <x:v>Statement of financial position</x:v>
      </x:c>
      <x:c r="F48" s="24"/>
    </x:row>
    <x:row r="49">
      <x:c r="A49" s="25" t="str">
        <x:v>15019</x:v>
      </x:c>
      <x:c r="B49" s="24" t="str">
        <x:v>Goodwill</x:v>
      </x:c>
      <x:c r="C49" s="24" t="str">
        <x:v>PPER</x:v>
      </x:c>
      <x:c r="D49" s="24" t="str">
        <x:v>Non-current assets</x:v>
      </x:c>
      <x:c r="E49" s="24" t="str">
        <x:v>Statement of financial position</x:v>
      </x:c>
      <x:c r="F49" s="24"/>
    </x:row>
    <x:row r="50">
      <x:c r="A50" s="25" t="str">
        <x:v>15020</x:v>
      </x:c>
      <x:c r="B50" s="24" t="str">
        <x:v>Licences, patents and other intangibles</x:v>
      </x:c>
      <x:c r="C50" s="24" t="str">
        <x:v>PPER</x:v>
      </x:c>
      <x:c r="D50" s="24" t="str">
        <x:v>Non-current assets</x:v>
      </x:c>
      <x:c r="E50" s="24" t="str">
        <x:v>Statement of financial position</x:v>
      </x:c>
      <x:c r="F50" s="24"/>
    </x:row>
    <x:row r="51">
      <x:c r="A51" s="25" t="str">
        <x:v>15021</x:v>
      </x:c>
      <x:c r="B51" s="24" t="str">
        <x:v>Biological assets</x:v>
      </x:c>
      <x:c r="C51" s="24" t="str">
        <x:v>PPER</x:v>
      </x:c>
      <x:c r="D51" s="24" t="str">
        <x:v>Non-current assets</x:v>
      </x:c>
      <x:c r="E51" s="24" t="str">
        <x:v>Statement of financial position</x:v>
      </x:c>
      <x:c r="F51" s="24"/>
    </x:row>
    <x:row r="52">
      <x:c r="A52" s="25" t="str">
        <x:v>15022</x:v>
      </x:c>
      <x:c r="B52" s="24" t="str">
        <x:v>Special qualifying investments</x:v>
      </x:c>
      <x:c r="C52" s="24" t="str">
        <x:v>PPER</x:v>
      </x:c>
      <x:c r="D52" s="24" t="str">
        <x:v>Non-current assets</x:v>
      </x:c>
      <x:c r="E52" s="24" t="str">
        <x:v>Statement of financial position</x:v>
      </x:c>
      <x:c r="F52" s="24"/>
    </x:row>
    <x:row r="53">
      <x:c r="A53" s="25" t="str">
        <x:v>15900</x:v>
      </x:c>
      <x:c r="B53" s="24" t="str">
        <x:v>Accumulated depreciation - buildings</x:v>
      </x:c>
      <x:c r="C53" s="24" t="str">
        <x:v>PPE</x:v>
      </x:c>
      <x:c r="D53" s="24" t="str">
        <x:v>Contra assets</x:v>
      </x:c>
      <x:c r="E53" s="24" t="str">
        <x:v>Statement of financial position</x:v>
      </x:c>
      <x:c r="F53" s="24"/>
    </x:row>
    <x:row r="54">
      <x:c r="A54" s="25" t="str">
        <x:v>15910</x:v>
      </x:c>
      <x:c r="B54" s="24" t="str">
        <x:v>Accumulated depreciation - machinery</x:v>
      </x:c>
      <x:c r="C54" s="24" t="str">
        <x:v>PPE</x:v>
      </x:c>
      <x:c r="D54" s="24" t="str">
        <x:v>Contra assets</x:v>
      </x:c>
      <x:c r="E54" s="24" t="str">
        <x:v>Statement of financial position</x:v>
      </x:c>
      <x:c r="F54" s="24"/>
    </x:row>
    <x:row r="55">
      <x:c r="A55" s="25" t="str">
        <x:v>15920</x:v>
      </x:c>
      <x:c r="B55" s="24" t="str">
        <x:v>Accumulated depreciation - vehicles</x:v>
      </x:c>
      <x:c r="C55" s="24" t="str">
        <x:v>PPE</x:v>
      </x:c>
      <x:c r="D55" s="24" t="str">
        <x:v>Contra assets</x:v>
      </x:c>
      <x:c r="E55" s="24" t="str">
        <x:v>Statement of financial position</x:v>
      </x:c>
      <x:c r="F55" s="24"/>
    </x:row>
    <x:row r="56">
      <x:c r="A56" s="25" t="str">
        <x:v>15930</x:v>
      </x:c>
      <x:c r="B56" s="24" t="str">
        <x:v>Accumulated depreciation - furniture</x:v>
      </x:c>
      <x:c r="C56" s="24" t="str">
        <x:v>PPE</x:v>
      </x:c>
      <x:c r="D56" s="24" t="str">
        <x:v>Contra assets</x:v>
      </x:c>
      <x:c r="E56" s="24" t="str">
        <x:v>Statement of financial position</x:v>
      </x:c>
      <x:c r="F56" s="24"/>
    </x:row>
    <x:row r="57">
      <x:c r="A57" s="25" t="str">
        <x:v>15940</x:v>
      </x:c>
      <x:c r="B57" s="24" t="str">
        <x:v>Accumulated depreciation - computers</x:v>
      </x:c>
      <x:c r="C57" s="24" t="str">
        <x:v>PPE</x:v>
      </x:c>
      <x:c r="D57" s="24" t="str">
        <x:v>Contra assets</x:v>
      </x:c>
      <x:c r="E57" s="24" t="str">
        <x:v>Statement of financial position</x:v>
      </x:c>
      <x:c r="F57" s="24"/>
    </x:row>
    <x:row r="58">
      <x:c r="A58" s="25" t="str">
        <x:v>15950</x:v>
      </x:c>
      <x:c r="B58" s="24" t="str">
        <x:v>Accumulated depreciation - other equipment</x:v>
      </x:c>
      <x:c r="C58" s="24" t="str">
        <x:v>PPE</x:v>
      </x:c>
      <x:c r="D58" s="24" t="str">
        <x:v>Contra assets</x:v>
      </x:c>
      <x:c r="E58" s="24" t="str">
        <x:v>Statement of financial position</x:v>
      </x:c>
      <x:c r="F58" s="24"/>
    </x:row>
    <x:row r="59">
      <x:c r="A59" s="25" t="str">
        <x:v>15960</x:v>
      </x:c>
      <x:c r="B59" s="24" t="str">
        <x:v>Accumulated depreciation - ROU</x:v>
      </x:c>
      <x:c r="C59" s="24" t="str">
        <x:v>PPE</x:v>
      </x:c>
      <x:c r="D59" s="24" t="str">
        <x:v>Contra assets</x:v>
      </x:c>
      <x:c r="E59" s="24" t="str">
        <x:v>Statement of financial position</x:v>
      </x:c>
      <x:c r="F59" s="24"/>
    </x:row>
    <x:row r="60">
      <x:c r="A60" s="25" t="str">
        <x:v>15970</x:v>
      </x:c>
      <x:c r="B60" s="24" t="str">
        <x:v>Accumulated amortisation - software</x:v>
      </x:c>
      <x:c r="C60" s="24" t="str">
        <x:v>PPE</x:v>
      </x:c>
      <x:c r="D60" s="24" t="str">
        <x:v>Contra assets</x:v>
      </x:c>
      <x:c r="E60" s="24" t="str">
        <x:v>Statement of financial position</x:v>
      </x:c>
      <x:c r="F60" s="24"/>
    </x:row>
    <x:row r="61">
      <x:c r="A61" s="25" t="str">
        <x:v>15980</x:v>
      </x:c>
      <x:c r="B61" s="24" t="str">
        <x:v>Accumulated impairment - assets</x:v>
      </x:c>
      <x:c r="C61" s="24" t="str">
        <x:v>PPE</x:v>
      </x:c>
      <x:c r="D61" s="24" t="str">
        <x:v>Contra assets</x:v>
      </x:c>
      <x:c r="E61" s="24" t="str">
        <x:v>Statement of financial position</x:v>
      </x:c>
      <x:c r="F61" s="24"/>
    </x:row>
    <x:row r="62">
      <x:c r="A62" s="25" t="str">
        <x:v>20000</x:v>
      </x:c>
      <x:c r="B62" s="24" t="str">
        <x:v>Trade payables</x:v>
      </x:c>
      <x:c r="C62" s="24" t="str">
        <x:v>LIAB</x:v>
      </x:c>
      <x:c r="D62" s="24" t="str">
        <x:v>Liabilities</x:v>
      </x:c>
      <x:c r="E62" s="24" t="str">
        <x:v>Statement of financial position</x:v>
      </x:c>
      <x:c r="F62" s="24"/>
    </x:row>
    <x:row r="63">
      <x:c r="A63" s="25" t="str">
        <x:v>20010</x:v>
      </x:c>
      <x:c r="B63" s="24" t="str">
        <x:v>Accrued operating expenditure</x:v>
      </x:c>
      <x:c r="C63" s="24" t="str">
        <x:v>LIAB</x:v>
      </x:c>
      <x:c r="D63" s="24" t="str">
        <x:v>Liabilities</x:v>
      </x:c>
      <x:c r="E63" s="24" t="str">
        <x:v>Statement of financial position</x:v>
      </x:c>
      <x:c r="F63" s="24"/>
    </x:row>
    <x:row r="64">
      <x:c r="A64" s="25" t="str">
        <x:v>20020</x:v>
      </x:c>
      <x:c r="B64" s="24" t="str">
        <x:v>Accrued payroll</x:v>
      </x:c>
      <x:c r="C64" s="24" t="str">
        <x:v>LIAB</x:v>
      </x:c>
      <x:c r="D64" s="24" t="str">
        <x:v>Liabilities</x:v>
      </x:c>
      <x:c r="E64" s="24" t="str">
        <x:v>Statement of financial position</x:v>
      </x:c>
      <x:c r="F64" s="24"/>
    </x:row>
    <x:row r="65">
      <x:c r="A65" s="25" t="str">
        <x:v>20030</x:v>
      </x:c>
      <x:c r="B65" s="24" t="str">
        <x:v>Customer deposits</x:v>
      </x:c>
      <x:c r="C65" s="24" t="str">
        <x:v>LIAB</x:v>
      </x:c>
      <x:c r="D65" s="24" t="str">
        <x:v>Liabilities</x:v>
      </x:c>
      <x:c r="E65" s="24" t="str">
        <x:v>Statement of financial position</x:v>
      </x:c>
      <x:c r="F65" s="24"/>
    </x:row>
    <x:row r="66">
      <x:c r="A66" s="25" t="str">
        <x:v>20040</x:v>
      </x:c>
      <x:c r="B66" s="24" t="str">
        <x:v>Deferred revenue</x:v>
      </x:c>
      <x:c r="C66" s="24" t="str">
        <x:v>LIAB</x:v>
      </x:c>
      <x:c r="D66" s="24" t="str">
        <x:v>Liabilities</x:v>
      </x:c>
      <x:c r="E66" s="24" t="str">
        <x:v>Statement of financial position</x:v>
      </x:c>
      <x:c r="F66" s="24"/>
    </x:row>
    <x:row r="67">
      <x:c r="A67" s="25" t="str">
        <x:v>20050</x:v>
      </x:c>
      <x:c r="B67" s="24" t="str">
        <x:v>Supplier credit balances</x:v>
      </x:c>
      <x:c r="C67" s="24" t="str">
        <x:v>LIAB</x:v>
      </x:c>
      <x:c r="D67" s="24" t="str">
        <x:v>Liabilities</x:v>
      </x:c>
      <x:c r="E67" s="24" t="str">
        <x:v>Statement of financial position</x:v>
      </x:c>
      <x:c r="F67" s="24"/>
    </x:row>
    <x:row r="68">
      <x:c r="A68" s="25" t="str">
        <x:v>20060</x:v>
      </x:c>
      <x:c r="B68" s="24" t="str">
        <x:v>Intercompany payable</x:v>
      </x:c>
      <x:c r="C68" s="24" t="str">
        <x:v>LIAB</x:v>
      </x:c>
      <x:c r="D68" s="24" t="str">
        <x:v>Liabilities</x:v>
      </x:c>
      <x:c r="E68" s="24" t="str">
        <x:v>Statement of financial position</x:v>
      </x:c>
      <x:c r="F68" s="24"/>
    </x:row>
    <x:row r="69">
      <x:c r="A69" s="25" t="str">
        <x:v>20070</x:v>
      </x:c>
      <x:c r="B69" s="24" t="str">
        <x:v>Borrowings - current</x:v>
      </x:c>
      <x:c r="C69" s="24" t="str">
        <x:v>LIAB</x:v>
      </x:c>
      <x:c r="D69" s="24" t="str">
        <x:v>Liabilities</x:v>
      </x:c>
      <x:c r="E69" s="24" t="str">
        <x:v>Statement of financial position</x:v>
      </x:c>
      <x:c r="F69" s="24"/>
    </x:row>
    <x:row r="70">
      <x:c r="A70" s="25" t="str">
        <x:v>20080</x:v>
      </x:c>
      <x:c r="B70" s="24" t="str">
        <x:v>Bank overdraft</x:v>
      </x:c>
      <x:c r="C70" s="24" t="str">
        <x:v>LIAB</x:v>
      </x:c>
      <x:c r="D70" s="24" t="str">
        <x:v>Liabilities</x:v>
      </x:c>
      <x:c r="E70" s="24" t="str">
        <x:v>Statement of financial position</x:v>
      </x:c>
      <x:c r="F70" s="24"/>
    </x:row>
    <x:row r="71">
      <x:c r="A71" s="25" t="str">
        <x:v>20090</x:v>
      </x:c>
      <x:c r="B71" s="24" t="str">
        <x:v>Loans - long-term</x:v>
      </x:c>
      <x:c r="C71" s="24" t="str">
        <x:v>LIAB</x:v>
      </x:c>
      <x:c r="D71" s="24" t="str">
        <x:v>Liabilities</x:v>
      </x:c>
      <x:c r="E71" s="24" t="str">
        <x:v>Statement of financial position</x:v>
      </x:c>
      <x:c r="F71" s="24"/>
    </x:row>
    <x:row r="72">
      <x:c r="A72" s="25" t="str">
        <x:v>20100</x:v>
      </x:c>
      <x:c r="B72" s="24" t="str">
        <x:v>Lease liability - current</x:v>
      </x:c>
      <x:c r="C72" s="24" t="str">
        <x:v>LIAB</x:v>
      </x:c>
      <x:c r="D72" s="24" t="str">
        <x:v>Liabilities</x:v>
      </x:c>
      <x:c r="E72" s="24" t="str">
        <x:v>Statement of financial position</x:v>
      </x:c>
      <x:c r="F72" s="24"/>
    </x:row>
    <x:row r="73">
      <x:c r="A73" s="25" t="str">
        <x:v>20110</x:v>
      </x:c>
      <x:c r="B73" s="24" t="str">
        <x:v>Lease liability - long-term</x:v>
      </x:c>
      <x:c r="C73" s="24" t="str">
        <x:v>LIAB</x:v>
      </x:c>
      <x:c r="D73" s="24" t="str">
        <x:v>Liabilities</x:v>
      </x:c>
      <x:c r="E73" s="24" t="str">
        <x:v>Statement of financial position</x:v>
      </x:c>
      <x:c r="F73" s="24"/>
    </x:row>
    <x:row r="74">
      <x:c r="A74" s="25" t="str">
        <x:v>20120</x:v>
      </x:c>
      <x:c r="B74" s="24" t="str">
        <x:v>Provisions</x:v>
      </x:c>
      <x:c r="C74" s="24" t="str">
        <x:v>LIAB</x:v>
      </x:c>
      <x:c r="D74" s="24" t="str">
        <x:v>Liabilities</x:v>
      </x:c>
      <x:c r="E74" s="24" t="str">
        <x:v>Statement of financial position</x:v>
      </x:c>
      <x:c r="F74" s="24"/>
    </x:row>
    <x:row r="75">
      <x:c r="A75" s="25" t="str">
        <x:v>20130</x:v>
      </x:c>
      <x:c r="B75" s="24" t="str">
        <x:v>Deferred tax liability</x:v>
      </x:c>
      <x:c r="C75" s="24" t="str">
        <x:v>LIAB</x:v>
      </x:c>
      <x:c r="D75" s="24" t="str">
        <x:v>Liabilities</x:v>
      </x:c>
      <x:c r="E75" s="24" t="str">
        <x:v>Statement of financial position</x:v>
      </x:c>
      <x:c r="F75" s="24"/>
    </x:row>
    <x:row r="76">
      <x:c r="A76" s="25" t="str">
        <x:v>20140</x:v>
      </x:c>
      <x:c r="B76" s="24" t="str">
        <x:v>Dividends payable</x:v>
      </x:c>
      <x:c r="C76" s="24" t="str">
        <x:v>LIAB</x:v>
      </x:c>
      <x:c r="D76" s="24" t="str">
        <x:v>Liabilities</x:v>
      </x:c>
      <x:c r="E76" s="24" t="str">
        <x:v>Statement of financial position</x:v>
      </x:c>
      <x:c r="F76" s="24"/>
    </x:row>
    <x:row r="77">
      <x:c r="A77" s="25" t="str">
        <x:v>21000</x:v>
      </x:c>
      <x:c r="B77" s="24" t="str">
        <x:v>Output VAT payable</x:v>
      </x:c>
      <x:c r="C77" s="24" t="str">
        <x:v>LIAB</x:v>
      </x:c>
      <x:c r="D77" s="24" t="str">
        <x:v>Tax / statutory liabilities</x:v>
      </x:c>
      <x:c r="E77" s="24" t="str">
        <x:v>Statement of financial position</x:v>
      </x:c>
      <x:c r="F77" s="24"/>
    </x:row>
    <x:row r="78">
      <x:c r="A78" s="25" t="str">
        <x:v>21010</x:v>
      </x:c>
      <x:c r="B78" s="24" t="str">
        <x:v>Input VAT clearing</x:v>
      </x:c>
      <x:c r="C78" s="24" t="str">
        <x:v>LIAB</x:v>
      </x:c>
      <x:c r="D78" s="24" t="str">
        <x:v>Tax / statutory liabilities</x:v>
      </x:c>
      <x:c r="E78" s="24" t="str">
        <x:v>Statement of financial position</x:v>
      </x:c>
      <x:c r="F78" s="24"/>
    </x:row>
    <x:row r="79">
      <x:c r="A79" s="25" t="str">
        <x:v>21020</x:v>
      </x:c>
      <x:c r="B79" s="24" t="str">
        <x:v>Net VAT payable / (credit)</x:v>
      </x:c>
      <x:c r="C79" s="24" t="str">
        <x:v>LIAB</x:v>
      </x:c>
      <x:c r="D79" s="24" t="str">
        <x:v>Tax / statutory liabilities</x:v>
      </x:c>
      <x:c r="E79" s="24" t="str">
        <x:v>Statement of financial position</x:v>
      </x:c>
      <x:c r="F79" s="24"/>
    </x:row>
    <x:row r="80">
      <x:c r="A80" s="25" t="str">
        <x:v>21030</x:v>
      </x:c>
      <x:c r="B80" s="24" t="str">
        <x:v>VAT withholding payable</x:v>
      </x:c>
      <x:c r="C80" s="24" t="str">
        <x:v>LIAB</x:v>
      </x:c>
      <x:c r="D80" s="24" t="str">
        <x:v>Tax / statutory liabilities</x:v>
      </x:c>
      <x:c r="E80" s="24" t="str">
        <x:v>Statement of financial position</x:v>
      </x:c>
      <x:c r="F80" s="24"/>
    </x:row>
    <x:row r="81">
      <x:c r="A81" s="25" t="str">
        <x:v>21100</x:v>
      </x:c>
      <x:c r="B81" s="24" t="str">
        <x:v>PAYE payable - legacy alias (do not use)</x:v>
      </x:c>
      <x:c r="C81" s="24" t="str">
        <x:v>LIAB</x:v>
      </x:c>
      <x:c r="D81" s="24" t="str">
        <x:v>Tax / statutory liabilities</x:v>
      </x:c>
      <x:c r="E81" s="24" t="str">
        <x:v>Statement of financial position</x:v>
      </x:c>
      <x:c r="F81" s="24"/>
    </x:row>
    <x:row r="82">
      <x:c r="A82" s="25" t="str">
        <x:v>21600</x:v>
      </x:c>
      <x:c r="B82" s="24" t="str">
        <x:v>PAYE payable</x:v>
      </x:c>
      <x:c r="C82" s="24" t="str">
        <x:v>LIAB</x:v>
      </x:c>
      <x:c r="D82" s="24" t="str">
        <x:v>Tax / statutory liabilities</x:v>
      </x:c>
      <x:c r="E82" s="24" t="str">
        <x:v>Statement of financial position</x:v>
      </x:c>
      <x:c r="F82" s="24"/>
    </x:row>
    <x:row r="83">
      <x:c r="A83" s="25" t="str">
        <x:v>21601</x:v>
      </x:c>
      <x:c r="B83" s="24" t="str">
        <x:v>SHIF payable</x:v>
      </x:c>
      <x:c r="C83" s="24" t="str">
        <x:v>LIAB</x:v>
      </x:c>
      <x:c r="D83" s="24" t="str">
        <x:v>Tax / statutory liabilities</x:v>
      </x:c>
      <x:c r="E83" s="24" t="str">
        <x:v>Statement of financial position</x:v>
      </x:c>
      <x:c r="F83" s="24"/>
    </x:row>
    <x:row r="84">
      <x:c r="A84" s="25" t="str">
        <x:v>21602</x:v>
      </x:c>
      <x:c r="B84" s="24" t="str">
        <x:v>Affordable Housing Levy payable</x:v>
      </x:c>
      <x:c r="C84" s="24" t="str">
        <x:v>LIAB</x:v>
      </x:c>
      <x:c r="D84" s="24" t="str">
        <x:v>Tax / statutory liabilities</x:v>
      </x:c>
      <x:c r="E84" s="24" t="str">
        <x:v>Statement of financial position</x:v>
      </x:c>
      <x:c r="F84" s="24"/>
    </x:row>
    <x:row r="85">
      <x:c r="A85" s="25" t="str">
        <x:v>21603</x:v>
      </x:c>
      <x:c r="B85" s="24" t="str">
        <x:v>NSSF payable</x:v>
      </x:c>
      <x:c r="C85" s="24" t="str">
        <x:v>LIAB</x:v>
      </x:c>
      <x:c r="D85" s="24" t="str">
        <x:v>Tax / statutory liabilities</x:v>
      </x:c>
      <x:c r="E85" s="24" t="str">
        <x:v>Statement of financial position</x:v>
      </x:c>
      <x:c r="F85" s="24"/>
    </x:row>
    <x:row r="86">
      <x:c r="A86" s="25" t="str">
        <x:v>21604</x:v>
      </x:c>
      <x:c r="B86" s="24" t="str">
        <x:v>NITA levy payable</x:v>
      </x:c>
      <x:c r="C86" s="24" t="str">
        <x:v>LIAB</x:v>
      </x:c>
      <x:c r="D86" s="24" t="str">
        <x:v>Tax / statutory liabilities</x:v>
      </x:c>
      <x:c r="E86" s="24" t="str">
        <x:v>Statement of financial position</x:v>
      </x:c>
      <x:c r="F86" s="24"/>
    </x:row>
    <x:row r="87">
      <x:c r="A87" s="25" t="str">
        <x:v>21605</x:v>
      </x:c>
      <x:c r="B87" s="24" t="str">
        <x:v>Income tax payable</x:v>
      </x:c>
      <x:c r="C87" s="24" t="str">
        <x:v>LIAB</x:v>
      </x:c>
      <x:c r="D87" s="24" t="str">
        <x:v>Tax / statutory liabilities</x:v>
      </x:c>
      <x:c r="E87" s="24" t="str">
        <x:v>Statement of financial position</x:v>
      </x:c>
      <x:c r="F87" s="24"/>
    </x:row>
    <x:row r="88">
      <x:c r="A88" s="25" t="str">
        <x:v>21606</x:v>
      </x:c>
      <x:c r="B88" s="24" t="str">
        <x:v>Withholding income tax payable</x:v>
      </x:c>
      <x:c r="C88" s="24" t="str">
        <x:v>LIAB</x:v>
      </x:c>
      <x:c r="D88" s="24" t="str">
        <x:v>Tax / statutory liabilities</x:v>
      </x:c>
      <x:c r="E88" s="24" t="str">
        <x:v>Statement of financial position</x:v>
      </x:c>
      <x:c r="F88" s="24"/>
    </x:row>
    <x:row r="89">
      <x:c r="A89" s="25" t="str">
        <x:v>21607</x:v>
      </x:c>
      <x:c r="B89" s="24" t="str">
        <x:v>Excise duty payable</x:v>
      </x:c>
      <x:c r="C89" s="24" t="str">
        <x:v>LIAB</x:v>
      </x:c>
      <x:c r="D89" s="24" t="str">
        <x:v>Tax / statutory liabilities</x:v>
      </x:c>
      <x:c r="E89" s="24" t="str">
        <x:v>Statement of financial position</x:v>
      </x:c>
      <x:c r="F89" s="24"/>
    </x:row>
    <x:row r="90">
      <x:c r="A90" s="25" t="str">
        <x:v>21608</x:v>
      </x:c>
      <x:c r="B90" s="24" t="str">
        <x:v>Catering / tourism levy payable</x:v>
      </x:c>
      <x:c r="C90" s="24" t="str">
        <x:v>LIAB</x:v>
      </x:c>
      <x:c r="D90" s="24" t="str">
        <x:v>Tax / statutory liabilities</x:v>
      </x:c>
      <x:c r="E90" s="24" t="str">
        <x:v>Statement of financial position</x:v>
      </x:c>
      <x:c r="F90" s="24"/>
    </x:row>
    <x:row r="91">
      <x:c r="A91" s="25" t="str">
        <x:v>21609</x:v>
      </x:c>
      <x:c r="B91" s="24" t="str">
        <x:v>Other statutory levies payable</x:v>
      </x:c>
      <x:c r="C91" s="24" t="str">
        <x:v>LIAB</x:v>
      </x:c>
      <x:c r="D91" s="24" t="str">
        <x:v>Tax / statutory liabilities</x:v>
      </x:c>
      <x:c r="E91" s="24" t="str">
        <x:v>Statement of financial position</x:v>
      </x:c>
      <x:c r="F91" s="24"/>
    </x:row>
    <x:row r="92">
      <x:c r="A92" s="25" t="str">
        <x:v>21610</x:v>
      </x:c>
      <x:c r="B92" s="24" t="str">
        <x:v>Net wages payable</x:v>
      </x:c>
      <x:c r="C92" s="24" t="str">
        <x:v>LIAB</x:v>
      </x:c>
      <x:c r="D92" s="24" t="str">
        <x:v>Tax / statutory liabilities</x:v>
      </x:c>
      <x:c r="E92" s="24" t="str">
        <x:v>Statement of financial position</x:v>
      </x:c>
      <x:c r="F92" s="24"/>
    </x:row>
    <x:row r="93">
      <x:c r="A93" s="25" t="str">
        <x:v>21611</x:v>
      </x:c>
      <x:c r="B93" s="24" t="str">
        <x:v>Pension contributions payable</x:v>
      </x:c>
      <x:c r="C93" s="24" t="str">
        <x:v>LIAB</x:v>
      </x:c>
      <x:c r="D93" s="24" t="str">
        <x:v>Tax / statutory liabilities</x:v>
      </x:c>
      <x:c r="E93" s="24" t="str">
        <x:v>Statement of financial position</x:v>
      </x:c>
      <x:c r="F93" s="24"/>
    </x:row>
    <x:row r="94">
      <x:c r="A94" s="25" t="str">
        <x:v>21612</x:v>
      </x:c>
      <x:c r="B94" s="24" t="str">
        <x:v>Fringe benefit tax payable</x:v>
      </x:c>
      <x:c r="C94" s="24" t="str">
        <x:v>LIAB</x:v>
      </x:c>
      <x:c r="D94" s="24" t="str">
        <x:v>Tax / statutory liabilities</x:v>
      </x:c>
      <x:c r="E94" s="24" t="str">
        <x:v>Statement of financial position</x:v>
      </x:c>
      <x:c r="F94" s="24"/>
    </x:row>
    <x:row r="95">
      <x:c r="A95" s="25" t="str">
        <x:v>21613</x:v>
      </x:c>
      <x:c r="B95" s="24" t="str">
        <x:v>Advance tax payable</x:v>
      </x:c>
      <x:c r="C95" s="24" t="str">
        <x:v>LIAB</x:v>
      </x:c>
      <x:c r="D95" s="24" t="str">
        <x:v>Tax / statutory liabilities</x:v>
      </x:c>
      <x:c r="E95" s="24" t="str">
        <x:v>Statement of financial position</x:v>
      </x:c>
      <x:c r="F95" s="24"/>
    </x:row>
    <x:row r="96">
      <x:c r="A96" s="25" t="str">
        <x:v>21614</x:v>
      </x:c>
      <x:c r="B96" s="24" t="str">
        <x:v>Instalment income tax payable</x:v>
      </x:c>
      <x:c r="C96" s="24" t="str">
        <x:v>LIAB</x:v>
      </x:c>
      <x:c r="D96" s="24" t="str">
        <x:v>Tax / statutory liabilities</x:v>
      </x:c>
      <x:c r="E96" s="24" t="str">
        <x:v>Statement of financial position</x:v>
      </x:c>
      <x:c r="F96" s="24"/>
    </x:row>
    <x:row r="97">
      <x:c r="A97" s="25" t="str">
        <x:v>22000</x:v>
      </x:c>
      <x:c r="B97" s="24" t="str">
        <x:v>Other liabilities - legacy control</x:v>
      </x:c>
      <x:c r="C97" s="24" t="str">
        <x:v>LIAB</x:v>
      </x:c>
      <x:c r="D97" s="24" t="str">
        <x:v>Tax / statutory liabilities</x:v>
      </x:c>
      <x:c r="E97" s="24" t="str">
        <x:v>Statement of financial position</x:v>
      </x:c>
      <x:c r="F97" s="24"/>
    </x:row>
    <x:row r="98">
      <x:c r="A98" s="25" t="str">
        <x:v>30000</x:v>
      </x:c>
      <x:c r="B98" s="24" t="str">
        <x:v>Share capital - companies</x:v>
      </x:c>
      <x:c r="C98" s="24" t="str">
        <x:v>EQUITY</x:v>
      </x:c>
      <x:c r="D98" s="24" t="str">
        <x:v>Equity</x:v>
      </x:c>
      <x:c r="E98" s="24" t="str">
        <x:v>Statement of financial position</x:v>
      </x:c>
      <x:c r="F98" s="24"/>
    </x:row>
    <x:row r="99">
      <x:c r="A99" s="25" t="str">
        <x:v>30010</x:v>
      </x:c>
      <x:c r="B99" s="24" t="str">
        <x:v>Share premium - companies</x:v>
      </x:c>
      <x:c r="C99" s="24" t="str">
        <x:v>EQUITY</x:v>
      </x:c>
      <x:c r="D99" s="24" t="str">
        <x:v>Equity</x:v>
      </x:c>
      <x:c r="E99" s="24" t="str">
        <x:v>Statement of financial position</x:v>
      </x:c>
      <x:c r="F99" s="24"/>
    </x:row>
    <x:row r="100">
      <x:c r="A100" s="25" t="str">
        <x:v>31000</x:v>
      </x:c>
      <x:c r="B100" s="24" t="str">
        <x:v>Retained earnings - companies</x:v>
      </x:c>
      <x:c r="C100" s="24" t="str">
        <x:v>EQUITY</x:v>
      </x:c>
      <x:c r="D100" s="24" t="str">
        <x:v>Equity</x:v>
      </x:c>
      <x:c r="E100" s="24" t="str">
        <x:v>Statement of financial position</x:v>
      </x:c>
      <x:c r="F100" s="24"/>
    </x:row>
    <x:row r="101">
      <x:c r="A101" s="25" t="str">
        <x:v>32000</x:v>
      </x:c>
      <x:c r="B101" s="24" t="str">
        <x:v>Current year retained result</x:v>
      </x:c>
      <x:c r="C101" s="24" t="str">
        <x:v>EQUITY</x:v>
      </x:c>
      <x:c r="D101" s="24" t="str">
        <x:v>Equity</x:v>
      </x:c>
      <x:c r="E101" s="24" t="str">
        <x:v>Statement of financial position</x:v>
      </x:c>
      <x:c r="F101" s="24"/>
    </x:row>
    <x:row r="102">
      <x:c r="A102" s="25" t="str">
        <x:v>33000</x:v>
      </x:c>
      <x:c r="B102" s="24" t="str">
        <x:v>Revaluation surplus</x:v>
      </x:c>
      <x:c r="C102" s="24" t="str">
        <x:v>EQUITY</x:v>
      </x:c>
      <x:c r="D102" s="24" t="str">
        <x:v>Equity</x:v>
      </x:c>
      <x:c r="E102" s="24" t="str">
        <x:v>Statement of financial position</x:v>
      </x:c>
      <x:c r="F102" s="24"/>
    </x:row>
    <x:row r="103">
      <x:c r="A103" s="25" t="str">
        <x:v>34000</x:v>
      </x:c>
      <x:c r="B103" s="24" t="str">
        <x:v>Other reserves</x:v>
      </x:c>
      <x:c r="C103" s="24" t="str">
        <x:v>EQUITY</x:v>
      </x:c>
      <x:c r="D103" s="24" t="str">
        <x:v>Equity</x:v>
      </x:c>
      <x:c r="E103" s="24" t="str">
        <x:v>Statement of financial position</x:v>
      </x:c>
      <x:c r="F103" s="24"/>
    </x:row>
    <x:row r="104">
      <x:c r="A104" s="25" t="str">
        <x:v>35000</x:v>
      </x:c>
      <x:c r="B104" s="24" t="str">
        <x:v>Proprietor capital - sole proprietorship</x:v>
      </x:c>
      <x:c r="C104" s="24" t="str">
        <x:v>EQUITY</x:v>
      </x:c>
      <x:c r="D104" s="24" t="str">
        <x:v>Equity</x:v>
      </x:c>
      <x:c r="E104" s="24" t="str">
        <x:v>Statement of financial position</x:v>
      </x:c>
      <x:c r="F104" s="24"/>
    </x:row>
    <x:row r="105">
      <x:c r="A105" s="25" t="str">
        <x:v>35010</x:v>
      </x:c>
      <x:c r="B105" s="24" t="str">
        <x:v>Proprietor drawings - sole proprietorship</x:v>
      </x:c>
      <x:c r="C105" s="24" t="str">
        <x:v>EQUITY</x:v>
      </x:c>
      <x:c r="D105" s="24" t="str">
        <x:v>Equity</x:v>
      </x:c>
      <x:c r="E105" s="24" t="str">
        <x:v>Statement of financial position</x:v>
      </x:c>
      <x:c r="F105" s="24"/>
    </x:row>
    <x:row r="106">
      <x:c r="A106" s="25" t="str">
        <x:v>36000</x:v>
      </x:c>
      <x:c r="B106" s="24" t="str">
        <x:v>Partner capital accounts</x:v>
      </x:c>
      <x:c r="C106" s="24" t="str">
        <x:v>EQUITY</x:v>
      </x:c>
      <x:c r="D106" s="24" t="str">
        <x:v>Equity</x:v>
      </x:c>
      <x:c r="E106" s="24" t="str">
        <x:v>Statement of financial position</x:v>
      </x:c>
      <x:c r="F106" s="24"/>
    </x:row>
    <x:row r="107">
      <x:c r="A107" s="25" t="str">
        <x:v>36010</x:v>
      </x:c>
      <x:c r="B107" s="24" t="str">
        <x:v>Partner current accounts</x:v>
      </x:c>
      <x:c r="C107" s="24" t="str">
        <x:v>EQUITY</x:v>
      </x:c>
      <x:c r="D107" s="24" t="str">
        <x:v>Equity</x:v>
      </x:c>
      <x:c r="E107" s="24" t="str">
        <x:v>Statement of financial position</x:v>
      </x:c>
      <x:c r="F107" s="24"/>
    </x:row>
    <x:row r="108">
      <x:c r="A108" s="25" t="str">
        <x:v>36020</x:v>
      </x:c>
      <x:c r="B108" s="24" t="str">
        <x:v>Partner drawings</x:v>
      </x:c>
      <x:c r="C108" s="24" t="str">
        <x:v>EQUITY</x:v>
      </x:c>
      <x:c r="D108" s="24" t="str">
        <x:v>Equity</x:v>
      </x:c>
      <x:c r="E108" s="24" t="str">
        <x:v>Statement of financial position</x:v>
      </x:c>
      <x:c r="F108" s="24"/>
    </x:row>
    <x:row r="109">
      <x:c r="A109" s="25" t="str">
        <x:v>37000</x:v>
      </x:c>
      <x:c r="B109" s="24" t="str">
        <x:v>Opening balances suspense - blocked</x:v>
      </x:c>
      <x:c r="C109" s="24" t="str">
        <x:v>EQUITY</x:v>
      </x:c>
      <x:c r="D109" s="24" t="str">
        <x:v>Equity</x:v>
      </x:c>
      <x:c r="E109" s="24" t="str">
        <x:v>Statement of financial position</x:v>
      </x:c>
      <x:c r="F109" s="24"/>
    </x:row>
    <x:row r="110">
      <x:c r="A110" s="25" t="str">
        <x:v>40000</x:v>
      </x:c>
      <x:c r="B110" s="24" t="str">
        <x:v>Domestic taxable sales - standard rate</x:v>
      </x:c>
      <x:c r="C110" s="24" t="str">
        <x:v>REV</x:v>
      </x:c>
      <x:c r="D110" s="24" t="str">
        <x:v>Revenue</x:v>
      </x:c>
      <x:c r="E110" s="24" t="str">
        <x:v>Profit or loss</x:v>
      </x:c>
      <x:c r="F110" s="24"/>
    </x:row>
    <x:row r="111">
      <x:c r="A111" s="25" t="str">
        <x:v>40010</x:v>
      </x:c>
      <x:c r="B111" s="24" t="str">
        <x:v>Domestic taxable sales - other applicable rate</x:v>
      </x:c>
      <x:c r="C111" s="24" t="str">
        <x:v>REV</x:v>
      </x:c>
      <x:c r="D111" s="24" t="str">
        <x:v>Revenue</x:v>
      </x:c>
      <x:c r="E111" s="24" t="str">
        <x:v>Profit or loss</x:v>
      </x:c>
      <x:c r="F111" s="24"/>
    </x:row>
    <x:row r="112">
      <x:c r="A112" s="25" t="str">
        <x:v>40020</x:v>
      </x:c>
      <x:c r="B112" s="24" t="str">
        <x:v>Domestic zero-rated sales</x:v>
      </x:c>
      <x:c r="C112" s="24" t="str">
        <x:v>REV</x:v>
      </x:c>
      <x:c r="D112" s="24" t="str">
        <x:v>Revenue</x:v>
      </x:c>
      <x:c r="E112" s="24" t="str">
        <x:v>Profit or loss</x:v>
      </x:c>
      <x:c r="F112" s="24"/>
    </x:row>
    <x:row r="113">
      <x:c r="A113" s="25" t="str">
        <x:v>40030</x:v>
      </x:c>
      <x:c r="B113" s="24" t="str">
        <x:v>Domestic exempt sales</x:v>
      </x:c>
      <x:c r="C113" s="24" t="str">
        <x:v>REV</x:v>
      </x:c>
      <x:c r="D113" s="24" t="str">
        <x:v>Revenue</x:v>
      </x:c>
      <x:c r="E113" s="24" t="str">
        <x:v>Profit or loss</x:v>
      </x:c>
      <x:c r="F113" s="24"/>
    </x:row>
    <x:row r="114">
      <x:c r="A114" s="25" t="str">
        <x:v>40040</x:v>
      </x:c>
      <x:c r="B114" s="24" t="str">
        <x:v>Export sales</x:v>
      </x:c>
      <x:c r="C114" s="24" t="str">
        <x:v>REV</x:v>
      </x:c>
      <x:c r="D114" s="24" t="str">
        <x:v>Revenue</x:v>
      </x:c>
      <x:c r="E114" s="24" t="str">
        <x:v>Profit or loss</x:v>
      </x:c>
      <x:c r="F114" s="24"/>
    </x:row>
    <x:row r="115">
      <x:c r="A115" s="25" t="str">
        <x:v>40050</x:v>
      </x:c>
      <x:c r="B115" s="24" t="str">
        <x:v>Service income</x:v>
      </x:c>
      <x:c r="C115" s="24" t="str">
        <x:v>REV</x:v>
      </x:c>
      <x:c r="D115" s="24" t="str">
        <x:v>Revenue</x:v>
      </x:c>
      <x:c r="E115" s="24" t="str">
        <x:v>Profit or loss</x:v>
      </x:c>
      <x:c r="F115" s="24"/>
    </x:row>
    <x:row r="116">
      <x:c r="A116" s="25" t="str">
        <x:v>40060</x:v>
      </x:c>
      <x:c r="B116" s="24" t="str">
        <x:v>Commission income</x:v>
      </x:c>
      <x:c r="C116" s="24" t="str">
        <x:v>REV</x:v>
      </x:c>
      <x:c r="D116" s="24" t="str">
        <x:v>Revenue</x:v>
      </x:c>
      <x:c r="E116" s="24" t="str">
        <x:v>Profit or loss</x:v>
      </x:c>
      <x:c r="F116" s="24"/>
    </x:row>
    <x:row r="117">
      <x:c r="A117" s="25" t="str">
        <x:v>40070</x:v>
      </x:c>
      <x:c r="B117" s="24" t="str">
        <x:v>Rental income - operating</x:v>
      </x:c>
      <x:c r="C117" s="24" t="str">
        <x:v>REV</x:v>
      </x:c>
      <x:c r="D117" s="24" t="str">
        <x:v>Revenue</x:v>
      </x:c>
      <x:c r="E117" s="24" t="str">
        <x:v>Profit or loss</x:v>
      </x:c>
      <x:c r="F117" s="24"/>
    </x:row>
    <x:row r="118">
      <x:c r="A118" s="25" t="str">
        <x:v>40080</x:v>
      </x:c>
      <x:c r="B118" s="24" t="str">
        <x:v>Interest income</x:v>
      </x:c>
      <x:c r="C118" s="24" t="str">
        <x:v>REV</x:v>
      </x:c>
      <x:c r="D118" s="24" t="str">
        <x:v>Revenue</x:v>
      </x:c>
      <x:c r="E118" s="24" t="str">
        <x:v>Profit or loss</x:v>
      </x:c>
      <x:c r="F118" s="24"/>
    </x:row>
    <x:row r="119">
      <x:c r="A119" s="25" t="str">
        <x:v>40090</x:v>
      </x:c>
      <x:c r="B119" s="24" t="str">
        <x:v>Other operating income</x:v>
      </x:c>
      <x:c r="C119" s="24" t="str">
        <x:v>REV</x:v>
      </x:c>
      <x:c r="D119" s="24" t="str">
        <x:v>Revenue</x:v>
      </x:c>
      <x:c r="E119" s="24" t="str">
        <x:v>Profit or loss</x:v>
      </x:c>
      <x:c r="F119" s="24"/>
    </x:row>
    <x:row r="120">
      <x:c r="A120" s="25" t="str">
        <x:v>40100</x:v>
      </x:c>
      <x:c r="B120" s="24" t="str">
        <x:v>Sales returns and discounts</x:v>
      </x:c>
      <x:c r="C120" s="24" t="str">
        <x:v>REV</x:v>
      </x:c>
      <x:c r="D120" s="24" t="str">
        <x:v>Revenue</x:v>
      </x:c>
      <x:c r="E120" s="24" t="str">
        <x:v>Profit or loss</x:v>
      </x:c>
      <x:c r="F120" s="24"/>
    </x:row>
    <x:row r="121">
      <x:c r="A121" s="25" t="str">
        <x:v>40110</x:v>
      </x:c>
      <x:c r="B121" s="24" t="str">
        <x:v>Gain / (loss) on PPE disposal</x:v>
      </x:c>
      <x:c r="C121" s="24" t="str">
        <x:v>REV</x:v>
      </x:c>
      <x:c r="D121" s="24" t="str">
        <x:v>Revenue</x:v>
      </x:c>
      <x:c r="E121" s="24" t="str">
        <x:v>Profit or loss</x:v>
      </x:c>
      <x:c r="F121" s="24"/>
    </x:row>
    <x:row r="122">
      <x:c r="A122" s="25" t="str">
        <x:v>40120</x:v>
      </x:c>
      <x:c r="B122" s="24" t="str">
        <x:v>Foreign exchange gains</x:v>
      </x:c>
      <x:c r="C122" s="24" t="str">
        <x:v>REV</x:v>
      </x:c>
      <x:c r="D122" s="24" t="str">
        <x:v>Revenue</x:v>
      </x:c>
      <x:c r="E122" s="24" t="str">
        <x:v>Profit or loss</x:v>
      </x:c>
      <x:c r="F122" s="24"/>
    </x:row>
    <x:row r="123">
      <x:c r="A123" s="25" t="str">
        <x:v>40130</x:v>
      </x:c>
      <x:c r="B123" s="24" t="str">
        <x:v>Non-operating income</x:v>
      </x:c>
      <x:c r="C123" s="24" t="str">
        <x:v>REV</x:v>
      </x:c>
      <x:c r="D123" s="24" t="str">
        <x:v>Revenue</x:v>
      </x:c>
      <x:c r="E123" s="24" t="str">
        <x:v>Profit or loss</x:v>
      </x:c>
      <x:c r="F123" s="24"/>
    </x:row>
    <x:row r="124">
      <x:c r="A124" s="25" t="str">
        <x:v>40140</x:v>
      </x:c>
      <x:c r="B124" s="24" t="str">
        <x:v>Inventory adjustments - recoveries</x:v>
      </x:c>
      <x:c r="C124" s="24" t="str">
        <x:v>REV</x:v>
      </x:c>
      <x:c r="D124" s="24" t="str">
        <x:v>Revenue</x:v>
      </x:c>
      <x:c r="E124" s="24" t="str">
        <x:v>Profit or loss</x:v>
      </x:c>
      <x:c r="F124" s="24"/>
    </x:row>
    <x:row r="125">
      <x:c r="A125" s="25" t="str">
        <x:v>50000</x:v>
      </x:c>
      <x:c r="B125" s="24" t="str">
        <x:v>Purchases - goods for resale</x:v>
      </x:c>
      <x:c r="C125" s="24" t="str">
        <x:v>STOCK</x:v>
      </x:c>
      <x:c r="D125" s="24" t="str">
        <x:v>Cost of sales</x:v>
      </x:c>
      <x:c r="E125" s="24" t="str">
        <x:v>Profit or loss</x:v>
      </x:c>
      <x:c r="F125" s="24"/>
    </x:row>
    <x:row r="126">
      <x:c r="A126" s="25" t="str">
        <x:v>50010</x:v>
      </x:c>
      <x:c r="B126" s="24" t="str">
        <x:v>Purchases - raw materials</x:v>
      </x:c>
      <x:c r="C126" s="24" t="str">
        <x:v>STOCK</x:v>
      </x:c>
      <x:c r="D126" s="24" t="str">
        <x:v>Cost of sales</x:v>
      </x:c>
      <x:c r="E126" s="24" t="str">
        <x:v>Profit or loss</x:v>
      </x:c>
      <x:c r="F126" s="24"/>
    </x:row>
    <x:row r="127">
      <x:c r="A127" s="25" t="str">
        <x:v>50020</x:v>
      </x:c>
      <x:c r="B127" s="24" t="str">
        <x:v>Purchases - packaging for resale</x:v>
      </x:c>
      <x:c r="C127" s="24" t="str">
        <x:v>STOCK</x:v>
      </x:c>
      <x:c r="D127" s="24" t="str">
        <x:v>Cost of sales</x:v>
      </x:c>
      <x:c r="E127" s="24" t="str">
        <x:v>Profit or loss</x:v>
      </x:c>
      <x:c r="F127" s="24"/>
    </x:row>
    <x:row r="128">
      <x:c r="A128" s="25" t="str">
        <x:v>50030</x:v>
      </x:c>
      <x:c r="B128" s="24" t="str">
        <x:v>Inbound carriage / freight</x:v>
      </x:c>
      <x:c r="C128" s="24" t="str">
        <x:v>STOCK</x:v>
      </x:c>
      <x:c r="D128" s="24" t="str">
        <x:v>Cost of sales</x:v>
      </x:c>
      <x:c r="E128" s="24" t="str">
        <x:v>Profit or loss</x:v>
      </x:c>
      <x:c r="F128" s="24"/>
    </x:row>
    <x:row r="129">
      <x:c r="A129" s="25" t="str">
        <x:v>50040</x:v>
      </x:c>
      <x:c r="B129" s="24" t="str">
        <x:v>Import duty capitalised into inventory</x:v>
      </x:c>
      <x:c r="C129" s="24" t="str">
        <x:v>STOCK</x:v>
      </x:c>
      <x:c r="D129" s="24" t="str">
        <x:v>Cost of sales</x:v>
      </x:c>
      <x:c r="E129" s="24" t="str">
        <x:v>Profit or loss</x:v>
      </x:c>
      <x:c r="F129" s="24"/>
    </x:row>
    <x:row r="130">
      <x:c r="A130" s="25" t="str">
        <x:v>50050</x:v>
      </x:c>
      <x:c r="B130" s="24" t="str">
        <x:v>Customs clearing - inventory</x:v>
      </x:c>
      <x:c r="C130" s="24" t="str">
        <x:v>STOCK</x:v>
      </x:c>
      <x:c r="D130" s="24" t="str">
        <x:v>Cost of sales</x:v>
      </x:c>
      <x:c r="E130" s="24" t="str">
        <x:v>Profit or loss</x:v>
      </x:c>
      <x:c r="F130" s="24"/>
    </x:row>
    <x:row r="131">
      <x:c r="A131" s="25" t="str">
        <x:v>50060</x:v>
      </x:c>
      <x:c r="B131" s="24" t="str">
        <x:v>Nonrecoverable VAT on stock</x:v>
      </x:c>
      <x:c r="C131" s="24" t="str">
        <x:v>STOCK</x:v>
      </x:c>
      <x:c r="D131" s="24" t="str">
        <x:v>Cost of sales</x:v>
      </x:c>
      <x:c r="E131" s="24" t="str">
        <x:v>Profit or loss</x:v>
      </x:c>
      <x:c r="F131" s="24"/>
    </x:row>
    <x:row r="132">
      <x:c r="A132" s="25" t="str">
        <x:v>50070</x:v>
      </x:c>
      <x:c r="B132" s="24" t="str">
        <x:v>Direct labour - production</x:v>
      </x:c>
      <x:c r="C132" s="24" t="str">
        <x:v>STOCK</x:v>
      </x:c>
      <x:c r="D132" s="24" t="str">
        <x:v>Cost of sales</x:v>
      </x:c>
      <x:c r="E132" s="24" t="str">
        <x:v>Profit or loss</x:v>
      </x:c>
      <x:c r="F132" s="24"/>
    </x:row>
    <x:row r="133">
      <x:c r="A133" s="25" t="str">
        <x:v>50080</x:v>
      </x:c>
      <x:c r="B133" s="24" t="str">
        <x:v>Production overhead absorbed</x:v>
      </x:c>
      <x:c r="C133" s="24" t="str">
        <x:v>STOCK</x:v>
      </x:c>
      <x:c r="D133" s="24" t="str">
        <x:v>Cost of sales</x:v>
      </x:c>
      <x:c r="E133" s="24" t="str">
        <x:v>Profit or loss</x:v>
      </x:c>
      <x:c r="F133" s="24"/>
    </x:row>
    <x:row r="134">
      <x:c r="A134" s="25" t="str">
        <x:v>50090</x:v>
      </x:c>
      <x:c r="B134" s="24" t="str">
        <x:v>Purchases returns / supplier rebates</x:v>
      </x:c>
      <x:c r="C134" s="24" t="str">
        <x:v>STOCK</x:v>
      </x:c>
      <x:c r="D134" s="24" t="str">
        <x:v>Cost of sales</x:v>
      </x:c>
      <x:c r="E134" s="24" t="str">
        <x:v>Profit or loss</x:v>
      </x:c>
      <x:c r="F134" s="24"/>
    </x:row>
    <x:row r="135">
      <x:c r="A135" s="25" t="str">
        <x:v>50100</x:v>
      </x:c>
      <x:c r="B135" s="24" t="str">
        <x:v>Inventory cost of sales</x:v>
      </x:c>
      <x:c r="C135" s="24" t="str">
        <x:v>STOCK</x:v>
      </x:c>
      <x:c r="D135" s="24" t="str">
        <x:v>Cost of sales</x:v>
      </x:c>
      <x:c r="E135" s="24" t="str">
        <x:v>Profit or loss</x:v>
      </x:c>
      <x:c r="F135" s="24"/>
    </x:row>
    <x:row r="136">
      <x:c r="A136" s="25" t="str">
        <x:v>50110</x:v>
      </x:c>
      <x:c r="B136" s="24" t="str">
        <x:v>Stock loss / shrinkage</x:v>
      </x:c>
      <x:c r="C136" s="24" t="str">
        <x:v>STOCK</x:v>
      </x:c>
      <x:c r="D136" s="24" t="str">
        <x:v>Cost of sales</x:v>
      </x:c>
      <x:c r="E136" s="24" t="str">
        <x:v>Profit or loss</x:v>
      </x:c>
      <x:c r="F136" s="24"/>
    </x:row>
    <x:row r="137">
      <x:c r="A137" s="25" t="str">
        <x:v>50120</x:v>
      </x:c>
      <x:c r="B137" s="24" t="str">
        <x:v>Stock write-off / obsolescence</x:v>
      </x:c>
      <x:c r="C137" s="24" t="str">
        <x:v>STOCK</x:v>
      </x:c>
      <x:c r="D137" s="24" t="str">
        <x:v>Cost of sales</x:v>
      </x:c>
      <x:c r="E137" s="24" t="str">
        <x:v>Profit or loss</x:v>
      </x:c>
      <x:c r="F137" s="24"/>
    </x:row>
    <x:row r="138">
      <x:c r="A138" s="25" t="str">
        <x:v>50130</x:v>
      </x:c>
      <x:c r="B138" s="24" t="str">
        <x:v>Stock-count variance</x:v>
      </x:c>
      <x:c r="C138" s="24" t="str">
        <x:v>STOCK</x:v>
      </x:c>
      <x:c r="D138" s="24" t="str">
        <x:v>Cost of sales</x:v>
      </x:c>
      <x:c r="E138" s="24" t="str">
        <x:v>Profit or loss</x:v>
      </x:c>
      <x:c r="F138" s="24"/>
    </x:row>
    <x:row r="139">
      <x:c r="A139" s="25" t="str">
        <x:v>50140</x:v>
      </x:c>
      <x:c r="B139" s="24" t="str">
        <x:v>Inventory opening/closing adjustment</x:v>
      </x:c>
      <x:c r="C139" s="24" t="str">
        <x:v>STOCK</x:v>
      </x:c>
      <x:c r="D139" s="24" t="str">
        <x:v>Cost of sales</x:v>
      </x:c>
      <x:c r="E139" s="24" t="str">
        <x:v>Profit or loss</x:v>
      </x:c>
      <x:c r="F139" s="24"/>
    </x:row>
    <x:row r="140">
      <x:c r="A140" s="25" t="str">
        <x:v>50150</x:v>
      </x:c>
      <x:c r="B140" s="24" t="str">
        <x:v>Cost of services supplied</x:v>
      </x:c>
      <x:c r="C140" s="24" t="str">
        <x:v>STOCK</x:v>
      </x:c>
      <x:c r="D140" s="24" t="str">
        <x:v>Cost of sales</x:v>
      </x:c>
      <x:c r="E140" s="24" t="str">
        <x:v>Profit or loss</x:v>
      </x:c>
      <x:c r="F140" s="24"/>
    </x:row>
    <x:row r="141">
      <x:c r="A141" s="25" t="str">
        <x:v>61000</x:v>
      </x:c>
      <x:c r="B141" s="24" t="str">
        <x:v>Rent - business premises</x:v>
      </x:c>
      <x:c r="C141" s="24" t="str">
        <x:v>EXP01</x:v>
      </x:c>
      <x:c r="D141" s="24" t="str">
        <x:v>Expenditure</x:v>
      </x:c>
      <x:c r="E141" s="24" t="str">
        <x:v>Profit or loss</x:v>
      </x:c>
      <x:c r="F141" s="24"/>
    </x:row>
    <x:row r="142">
      <x:c r="A142" s="25" t="str">
        <x:v>61010</x:v>
      </x:c>
      <x:c r="B142" s="24" t="str">
        <x:v>Utilities - electricity</x:v>
      </x:c>
      <x:c r="C142" s="24" t="str">
        <x:v>EXP01</x:v>
      </x:c>
      <x:c r="D142" s="24" t="str">
        <x:v>Expenditure</x:v>
      </x:c>
      <x:c r="E142" s="24" t="str">
        <x:v>Profit or loss</x:v>
      </x:c>
      <x:c r="F142" s="24"/>
    </x:row>
    <x:row r="143">
      <x:c r="A143" s="25" t="str">
        <x:v>61020</x:v>
      </x:c>
      <x:c r="B143" s="24" t="str">
        <x:v>Utilities - water</x:v>
      </x:c>
      <x:c r="C143" s="24" t="str">
        <x:v>EXP01</x:v>
      </x:c>
      <x:c r="D143" s="24" t="str">
        <x:v>Expenditure</x:v>
      </x:c>
      <x:c r="E143" s="24" t="str">
        <x:v>Profit or loss</x:v>
      </x:c>
      <x:c r="F143" s="24"/>
    </x:row>
    <x:row r="144">
      <x:c r="A144" s="25" t="str">
        <x:v>61030</x:v>
      </x:c>
      <x:c r="B144" s="24" t="str">
        <x:v>Fuel - operating</x:v>
      </x:c>
      <x:c r="C144" s="24" t="str">
        <x:v>EXP01</x:v>
      </x:c>
      <x:c r="D144" s="24" t="str">
        <x:v>Expenditure</x:v>
      </x:c>
      <x:c r="E144" s="24" t="str">
        <x:v>Profit or loss</x:v>
      </x:c>
      <x:c r="F144" s="24"/>
    </x:row>
    <x:row r="145">
      <x:c r="A145" s="25" t="str">
        <x:v>61040</x:v>
      </x:c>
      <x:c r="B145" s="24" t="str">
        <x:v>Repairs - premises</x:v>
      </x:c>
      <x:c r="C145" s="24" t="str">
        <x:v>EXP01</x:v>
      </x:c>
      <x:c r="D145" s="24" t="str">
        <x:v>Expenditure</x:v>
      </x:c>
      <x:c r="E145" s="24" t="str">
        <x:v>Profit or loss</x:v>
      </x:c>
      <x:c r="F145" s="24"/>
    </x:row>
    <x:row r="146">
      <x:c r="A146" s="25" t="str">
        <x:v>61050</x:v>
      </x:c>
      <x:c r="B146" s="24" t="str">
        <x:v>Repairs - machinery</x:v>
      </x:c>
      <x:c r="C146" s="24" t="str">
        <x:v>EXP01</x:v>
      </x:c>
      <x:c r="D146" s="24" t="str">
        <x:v>Expenditure</x:v>
      </x:c>
      <x:c r="E146" s="24" t="str">
        <x:v>Profit or loss</x:v>
      </x:c>
      <x:c r="F146" s="24"/>
    </x:row>
    <x:row r="147">
      <x:c r="A147" s="25" t="str">
        <x:v>61060</x:v>
      </x:c>
      <x:c r="B147" s="24" t="str">
        <x:v>Motor vehicle repairs</x:v>
      </x:c>
      <x:c r="C147" s="24" t="str">
        <x:v>EXP01</x:v>
      </x:c>
      <x:c r="D147" s="24" t="str">
        <x:v>Expenditure</x:v>
      </x:c>
      <x:c r="E147" s="24" t="str">
        <x:v>Profit or loss</x:v>
      </x:c>
      <x:c r="F147" s="24"/>
    </x:row>
    <x:row r="148">
      <x:c r="A148" s="25" t="str">
        <x:v>61070</x:v>
      </x:c>
      <x:c r="B148" s="24" t="str">
        <x:v>Vehicle fuel and maintenance</x:v>
      </x:c>
      <x:c r="C148" s="24" t="str">
        <x:v>EXP01</x:v>
      </x:c>
      <x:c r="D148" s="24" t="str">
        <x:v>Expenditure</x:v>
      </x:c>
      <x:c r="E148" s="24" t="str">
        <x:v>Profit or loss</x:v>
      </x:c>
      <x:c r="F148" s="24"/>
    </x:row>
    <x:row r="149">
      <x:c r="A149" s="25" t="str">
        <x:v>61080</x:v>
      </x:c>
      <x:c r="B149" s="24" t="str">
        <x:v>Insurance - business</x:v>
      </x:c>
      <x:c r="C149" s="24" t="str">
        <x:v>EXP01</x:v>
      </x:c>
      <x:c r="D149" s="24" t="str">
        <x:v>Expenditure</x:v>
      </x:c>
      <x:c r="E149" s="24" t="str">
        <x:v>Profit or loss</x:v>
      </x:c>
      <x:c r="F149" s="24"/>
    </x:row>
    <x:row r="150">
      <x:c r="A150" s="25" t="str">
        <x:v>61090</x:v>
      </x:c>
      <x:c r="B150" s="24" t="str">
        <x:v>Security services</x:v>
      </x:c>
      <x:c r="C150" s="24" t="str">
        <x:v>EXP01</x:v>
      </x:c>
      <x:c r="D150" s="24" t="str">
        <x:v>Expenditure</x:v>
      </x:c>
      <x:c r="E150" s="24" t="str">
        <x:v>Profit or loss</x:v>
      </x:c>
      <x:c r="F150" s="24"/>
    </x:row>
    <x:row r="151">
      <x:c r="A151" s="25" t="str">
        <x:v>61100</x:v>
      </x:c>
      <x:c r="B151" s="24" t="str">
        <x:v>Cleaning and sanitation</x:v>
      </x:c>
      <x:c r="C151" s="24" t="str">
        <x:v>EXP01</x:v>
      </x:c>
      <x:c r="D151" s="24" t="str">
        <x:v>Expenditure</x:v>
      </x:c>
      <x:c r="E151" s="24" t="str">
        <x:v>Profit or loss</x:v>
      </x:c>
      <x:c r="F151" s="24"/>
    </x:row>
    <x:row r="152">
      <x:c r="A152" s="25" t="str">
        <x:v>61110</x:v>
      </x:c>
      <x:c r="B152" s="24" t="str">
        <x:v>Waste disposal</x:v>
      </x:c>
      <x:c r="C152" s="24" t="str">
        <x:v>EXP01</x:v>
      </x:c>
      <x:c r="D152" s="24" t="str">
        <x:v>Expenditure</x:v>
      </x:c>
      <x:c r="E152" s="24" t="str">
        <x:v>Profit or loss</x:v>
      </x:c>
      <x:c r="F152" s="24"/>
    </x:row>
    <x:row r="153">
      <x:c r="A153" s="25" t="str">
        <x:v>61120</x:v>
      </x:c>
      <x:c r="B153" s="24" t="str">
        <x:v>General supplies and consumables</x:v>
      </x:c>
      <x:c r="C153" s="24" t="str">
        <x:v>EXP01</x:v>
      </x:c>
      <x:c r="D153" s="24" t="str">
        <x:v>Expenditure</x:v>
      </x:c>
      <x:c r="E153" s="24" t="str">
        <x:v>Profit or loss</x:v>
      </x:c>
      <x:c r="F153" s="24"/>
    </x:row>
    <x:row r="154">
      <x:c r="A154" s="25" t="str">
        <x:v>61130</x:v>
      </x:c>
      <x:c r="B154" s="24" t="str">
        <x:v>Packaging and stationery used internally</x:v>
      </x:c>
      <x:c r="C154" s="24" t="str">
        <x:v>EXP01</x:v>
      </x:c>
      <x:c r="D154" s="24" t="str">
        <x:v>Expenditure</x:v>
      </x:c>
      <x:c r="E154" s="24" t="str">
        <x:v>Profit or loss</x:v>
      </x:c>
      <x:c r="F154" s="24"/>
    </x:row>
    <x:row r="155">
      <x:c r="A155" s="25" t="str">
        <x:v>61140</x:v>
      </x:c>
      <x:c r="B155" s="24" t="str">
        <x:v>Telephone and internet</x:v>
      </x:c>
      <x:c r="C155" s="24" t="str">
        <x:v>EXP01</x:v>
      </x:c>
      <x:c r="D155" s="24" t="str">
        <x:v>Expenditure</x:v>
      </x:c>
      <x:c r="E155" s="24" t="str">
        <x:v>Profit or loss</x:v>
      </x:c>
      <x:c r="F155" s="24"/>
    </x:row>
    <x:row r="156">
      <x:c r="A156" s="25" t="str">
        <x:v>61150</x:v>
      </x:c>
      <x:c r="B156" s="24" t="str">
        <x:v>Transport and local deliveries</x:v>
      </x:c>
      <x:c r="C156" s="24" t="str">
        <x:v>EXP01</x:v>
      </x:c>
      <x:c r="D156" s="24" t="str">
        <x:v>Expenditure</x:v>
      </x:c>
      <x:c r="E156" s="24" t="str">
        <x:v>Profit or loss</x:v>
      </x:c>
      <x:c r="F156" s="24"/>
    </x:row>
    <x:row r="157">
      <x:c r="A157" s="25" t="str">
        <x:v>61160</x:v>
      </x:c>
      <x:c r="B157" s="24" t="str">
        <x:v>Warehousing and storage</x:v>
      </x:c>
      <x:c r="C157" s="24" t="str">
        <x:v>EXP01</x:v>
      </x:c>
      <x:c r="D157" s="24" t="str">
        <x:v>Expenditure</x:v>
      </x:c>
      <x:c r="E157" s="24" t="str">
        <x:v>Profit or loss</x:v>
      </x:c>
      <x:c r="F157" s="24"/>
    </x:row>
    <x:row r="158">
      <x:c r="A158" s="25" t="str">
        <x:v>61170</x:v>
      </x:c>
      <x:c r="B158" s="24" t="str">
        <x:v>Subscriptions - operations</x:v>
      </x:c>
      <x:c r="C158" s="24" t="str">
        <x:v>EXP01</x:v>
      </x:c>
      <x:c r="D158" s="24" t="str">
        <x:v>Expenditure</x:v>
      </x:c>
      <x:c r="E158" s="24" t="str">
        <x:v>Profit or loss</x:v>
      </x:c>
      <x:c r="F158" s="24"/>
    </x:row>
    <x:row r="159">
      <x:c r="A159" s="25" t="str">
        <x:v>61180</x:v>
      </x:c>
      <x:c r="B159" s="24" t="str">
        <x:v>Licences and permits - operating</x:v>
      </x:c>
      <x:c r="C159" s="24" t="str">
        <x:v>EXP01</x:v>
      </x:c>
      <x:c r="D159" s="24" t="str">
        <x:v>Expenditure</x:v>
      </x:c>
      <x:c r="E159" s="24" t="str">
        <x:v>Profit or loss</x:v>
      </x:c>
      <x:c r="F159" s="24"/>
    </x:row>
    <x:row r="160">
      <x:c r="A160" s="25" t="str">
        <x:v>61190</x:v>
      </x:c>
      <x:c r="B160" s="24" t="str">
        <x:v>Business travel and accommodation</x:v>
      </x:c>
      <x:c r="C160" s="24" t="str">
        <x:v>EXP01</x:v>
      </x:c>
      <x:c r="D160" s="24" t="str">
        <x:v>Expenditure</x:v>
      </x:c>
      <x:c r="E160" s="24" t="str">
        <x:v>Profit or loss</x:v>
      </x:c>
      <x:c r="F160" s="24"/>
    </x:row>
    <x:row r="161">
      <x:c r="A161" s="25" t="str">
        <x:v>61200</x:v>
      </x:c>
      <x:c r="B161" s="24" t="str">
        <x:v>Marketing and advertising</x:v>
      </x:c>
      <x:c r="C161" s="24" t="str">
        <x:v>EXP01</x:v>
      </x:c>
      <x:c r="D161" s="24" t="str">
        <x:v>Expenditure</x:v>
      </x:c>
      <x:c r="E161" s="24" t="str">
        <x:v>Profit or loss</x:v>
      </x:c>
      <x:c r="F161" s="24"/>
    </x:row>
    <x:row r="162">
      <x:c r="A162" s="25" t="str">
        <x:v>61210</x:v>
      </x:c>
      <x:c r="B162" s="24" t="str">
        <x:v>Sales promotion</x:v>
      </x:c>
      <x:c r="C162" s="24" t="str">
        <x:v>EXP01</x:v>
      </x:c>
      <x:c r="D162" s="24" t="str">
        <x:v>Expenditure</x:v>
      </x:c>
      <x:c r="E162" s="24" t="str">
        <x:v>Profit or loss</x:v>
      </x:c>
      <x:c r="F162" s="24"/>
    </x:row>
    <x:row r="163">
      <x:c r="A163" s="25" t="str">
        <x:v>61220</x:v>
      </x:c>
      <x:c r="B163" s="24" t="str">
        <x:v>Customer support expense</x:v>
      </x:c>
      <x:c r="C163" s="24" t="str">
        <x:v>EXP01</x:v>
      </x:c>
      <x:c r="D163" s="24" t="str">
        <x:v>Expenditure</x:v>
      </x:c>
      <x:c r="E163" s="24" t="str">
        <x:v>Profit or loss</x:v>
      </x:c>
      <x:c r="F163" s="24"/>
    </x:row>
    <x:row r="164">
      <x:c r="A164" s="25" t="str">
        <x:v>61230</x:v>
      </x:c>
      <x:c r="B164" s="24" t="str">
        <x:v>Merchant processing charges</x:v>
      </x:c>
      <x:c r="C164" s="24" t="str">
        <x:v>EXP01</x:v>
      </x:c>
      <x:c r="D164" s="24" t="str">
        <x:v>Expenditure</x:v>
      </x:c>
      <x:c r="E164" s="24" t="str">
        <x:v>Profit or loss</x:v>
      </x:c>
      <x:c r="F164" s="24"/>
    </x:row>
    <x:row r="165">
      <x:c r="A165" s="25" t="str">
        <x:v>61240</x:v>
      </x:c>
      <x:c r="B165" s="24" t="str">
        <x:v>Operating lease expense</x:v>
      </x:c>
      <x:c r="C165" s="24" t="str">
        <x:v>EXP01</x:v>
      </x:c>
      <x:c r="D165" s="24" t="str">
        <x:v>Expenditure</x:v>
      </x:c>
      <x:c r="E165" s="24" t="str">
        <x:v>Profit or loss</x:v>
      </x:c>
      <x:c r="F165" s="24"/>
    </x:row>
    <x:row r="166">
      <x:c r="A166" s="25" t="str">
        <x:v>61250</x:v>
      </x:c>
      <x:c r="B166" s="24" t="str">
        <x:v>Service contracts and maintenance</x:v>
      </x:c>
      <x:c r="C166" s="24" t="str">
        <x:v>EXP01</x:v>
      </x:c>
      <x:c r="D166" s="24" t="str">
        <x:v>Expenditure</x:v>
      </x:c>
      <x:c r="E166" s="24" t="str">
        <x:v>Profit or loss</x:v>
      </x:c>
      <x:c r="F166" s="24"/>
    </x:row>
    <x:row r="167">
      <x:c r="A167" s="25" t="str">
        <x:v>64000</x:v>
      </x:c>
      <x:c r="B167" s="24" t="str">
        <x:v>Office stationery and printing</x:v>
      </x:c>
      <x:c r="C167" s="24" t="str">
        <x:v>EXP02</x:v>
      </x:c>
      <x:c r="D167" s="24" t="str">
        <x:v>Expenditure</x:v>
      </x:c>
      <x:c r="E167" s="24" t="str">
        <x:v>Profit or loss</x:v>
      </x:c>
      <x:c r="F167" s="24"/>
    </x:row>
    <x:row r="168">
      <x:c r="A168" s="25" t="str">
        <x:v>64010</x:v>
      </x:c>
      <x:c r="B168" s="24" t="str">
        <x:v>Office rent / administration</x:v>
      </x:c>
      <x:c r="C168" s="24" t="str">
        <x:v>EXP02</x:v>
      </x:c>
      <x:c r="D168" s="24" t="str">
        <x:v>Expenditure</x:v>
      </x:c>
      <x:c r="E168" s="24" t="str">
        <x:v>Profit or loss</x:v>
      </x:c>
      <x:c r="F168" s="24"/>
    </x:row>
    <x:row r="169">
      <x:c r="A169" s="25" t="str">
        <x:v>64020</x:v>
      </x:c>
      <x:c r="B169" s="24" t="str">
        <x:v>Administrative utilities</x:v>
      </x:c>
      <x:c r="C169" s="24" t="str">
        <x:v>EXP02</x:v>
      </x:c>
      <x:c r="D169" s="24" t="str">
        <x:v>Expenditure</x:v>
      </x:c>
      <x:c r="E169" s="24" t="str">
        <x:v>Profit or loss</x:v>
      </x:c>
      <x:c r="F169" s="24"/>
    </x:row>
    <x:row r="170">
      <x:c r="A170" s="25" t="str">
        <x:v>64030</x:v>
      </x:c>
      <x:c r="B170" s="24" t="str">
        <x:v>Postage and courier</x:v>
      </x:c>
      <x:c r="C170" s="24" t="str">
        <x:v>EXP02</x:v>
      </x:c>
      <x:c r="D170" s="24" t="str">
        <x:v>Expenditure</x:v>
      </x:c>
      <x:c r="E170" s="24" t="str">
        <x:v>Profit or loss</x:v>
      </x:c>
      <x:c r="F170" s="24"/>
    </x:row>
    <x:row r="171">
      <x:c r="A171" s="25" t="str">
        <x:v>64040</x:v>
      </x:c>
      <x:c r="B171" s="24" t="str">
        <x:v>Company secretarial expense</x:v>
      </x:c>
      <x:c r="C171" s="24" t="str">
        <x:v>EXP02</x:v>
      </x:c>
      <x:c r="D171" s="24" t="str">
        <x:v>Expenditure</x:v>
      </x:c>
      <x:c r="E171" s="24" t="str">
        <x:v>Profit or loss</x:v>
      </x:c>
      <x:c r="F171" s="24"/>
    </x:row>
    <x:row r="172">
      <x:c r="A172" s="25" t="str">
        <x:v>64050</x:v>
      </x:c>
      <x:c r="B172" s="24" t="str">
        <x:v>Board meetings</x:v>
      </x:c>
      <x:c r="C172" s="24" t="str">
        <x:v>EXP02</x:v>
      </x:c>
      <x:c r="D172" s="24" t="str">
        <x:v>Expenditure</x:v>
      </x:c>
      <x:c r="E172" s="24" t="str">
        <x:v>Profit or loss</x:v>
      </x:c>
      <x:c r="F172" s="24"/>
    </x:row>
    <x:row r="173">
      <x:c r="A173" s="25" t="str">
        <x:v>64060</x:v>
      </x:c>
      <x:c r="B173" s="24" t="str">
        <x:v>Corporate registration renewals</x:v>
      </x:c>
      <x:c r="C173" s="24" t="str">
        <x:v>EXP02</x:v>
      </x:c>
      <x:c r="D173" s="24" t="str">
        <x:v>Expenditure</x:v>
      </x:c>
      <x:c r="E173" s="24" t="str">
        <x:v>Profit or loss</x:v>
      </x:c>
      <x:c r="F173" s="24"/>
    </x:row>
    <x:row r="174">
      <x:c r="A174" s="25" t="str">
        <x:v>64070</x:v>
      </x:c>
      <x:c r="B174" s="24" t="str">
        <x:v>Office supplies</x:v>
      </x:c>
      <x:c r="C174" s="24" t="str">
        <x:v>EXP02</x:v>
      </x:c>
      <x:c r="D174" s="24" t="str">
        <x:v>Expenditure</x:v>
      </x:c>
      <x:c r="E174" s="24" t="str">
        <x:v>Profit or loss</x:v>
      </x:c>
      <x:c r="F174" s="24"/>
    </x:row>
    <x:row r="175">
      <x:c r="A175" s="25" t="str">
        <x:v>64080</x:v>
      </x:c>
      <x:c r="B175" s="24" t="str">
        <x:v>IT support and hosting</x:v>
      </x:c>
      <x:c r="C175" s="24" t="str">
        <x:v>EXP02</x:v>
      </x:c>
      <x:c r="D175" s="24" t="str">
        <x:v>Expenditure</x:v>
      </x:c>
      <x:c r="E175" s="24" t="str">
        <x:v>Profit or loss</x:v>
      </x:c>
      <x:c r="F175" s="24"/>
    </x:row>
    <x:row r="176">
      <x:c r="A176" s="25" t="str">
        <x:v>64090</x:v>
      </x:c>
      <x:c r="B176" s="24" t="str">
        <x:v>Software subscriptions - expensed</x:v>
      </x:c>
      <x:c r="C176" s="24" t="str">
        <x:v>EXP02</x:v>
      </x:c>
      <x:c r="D176" s="24" t="str">
        <x:v>Expenditure</x:v>
      </x:c>
      <x:c r="E176" s="24" t="str">
        <x:v>Profit or loss</x:v>
      </x:c>
      <x:c r="F176" s="24"/>
    </x:row>
    <x:row r="177">
      <x:c r="A177" s="25" t="str">
        <x:v>64100</x:v>
      </x:c>
      <x:c r="B177" s="24" t="str">
        <x:v>Staff recruitment administration</x:v>
      </x:c>
      <x:c r="C177" s="24" t="str">
        <x:v>EXP02</x:v>
      </x:c>
      <x:c r="D177" s="24" t="str">
        <x:v>Expenditure</x:v>
      </x:c>
      <x:c r="E177" s="24" t="str">
        <x:v>Profit or loss</x:v>
      </x:c>
      <x:c r="F177" s="24"/>
    </x:row>
    <x:row r="178">
      <x:c r="A178" s="25" t="str">
        <x:v>64110</x:v>
      </x:c>
      <x:c r="B178" s="24" t="str">
        <x:v>Training and professional development</x:v>
      </x:c>
      <x:c r="C178" s="24" t="str">
        <x:v>EXP02</x:v>
      </x:c>
      <x:c r="D178" s="24" t="str">
        <x:v>Expenditure</x:v>
      </x:c>
      <x:c r="E178" s="24" t="str">
        <x:v>Profit or loss</x:v>
      </x:c>
      <x:c r="F178" s="24"/>
    </x:row>
    <x:row r="179">
      <x:c r="A179" s="25" t="str">
        <x:v>64120</x:v>
      </x:c>
      <x:c r="B179" s="24" t="str">
        <x:v>Travel - administration</x:v>
      </x:c>
      <x:c r="C179" s="24" t="str">
        <x:v>EXP02</x:v>
      </x:c>
      <x:c r="D179" s="24" t="str">
        <x:v>Expenditure</x:v>
      </x:c>
      <x:c r="E179" s="24" t="str">
        <x:v>Profit or loss</x:v>
      </x:c>
      <x:c r="F179" s="24"/>
    </x:row>
    <x:row r="180">
      <x:c r="A180" s="25" t="str">
        <x:v>64130</x:v>
      </x:c>
      <x:c r="B180" s="24" t="str">
        <x:v>General administrative sundries</x:v>
      </x:c>
      <x:c r="C180" s="24" t="str">
        <x:v>EXP02</x:v>
      </x:c>
      <x:c r="D180" s="24" t="str">
        <x:v>Expenditure</x:v>
      </x:c>
      <x:c r="E180" s="24" t="str">
        <x:v>Profit or loss</x:v>
      </x:c>
      <x:c r="F180" s="24"/>
    </x:row>
    <x:row r="181">
      <x:c r="A181" s="25" t="str">
        <x:v>64140</x:v>
      </x:c>
      <x:c r="B181" s="24" t="str">
        <x:v>Office repairs and maintenance</x:v>
      </x:c>
      <x:c r="C181" s="24" t="str">
        <x:v>EXP02</x:v>
      </x:c>
      <x:c r="D181" s="24" t="str">
        <x:v>Expenditure</x:v>
      </x:c>
      <x:c r="E181" s="24" t="str">
        <x:v>Profit or loss</x:v>
      </x:c>
      <x:c r="F181" s="24"/>
    </x:row>
    <x:row r="182">
      <x:c r="A182" s="25" t="str">
        <x:v>64150</x:v>
      </x:c>
      <x:c r="B182" s="24" t="str">
        <x:v>Directors reimbursable expenses - business</x:v>
      </x:c>
      <x:c r="C182" s="24" t="str">
        <x:v>EXP02</x:v>
      </x:c>
      <x:c r="D182" s="24" t="str">
        <x:v>Expenditure</x:v>
      </x:c>
      <x:c r="E182" s="24" t="str">
        <x:v>Profit or loss</x:v>
      </x:c>
      <x:c r="F182" s="24"/>
    </x:row>
    <x:row r="183">
      <x:c r="A183" s="25" t="str">
        <x:v>64160</x:v>
      </x:c>
      <x:c r="B183" s="24" t="str">
        <x:v>Audit committee expense</x:v>
      </x:c>
      <x:c r="C183" s="24" t="str">
        <x:v>EXP02</x:v>
      </x:c>
      <x:c r="D183" s="24" t="str">
        <x:v>Expenditure</x:v>
      </x:c>
      <x:c r="E183" s="24" t="str">
        <x:v>Profit or loss</x:v>
      </x:c>
      <x:c r="F183" s="24"/>
    </x:row>
    <x:row r="184">
      <x:c r="A184" s="25" t="str">
        <x:v>64170</x:v>
      </x:c>
      <x:c r="B184" s="24" t="str">
        <x:v>Regulatory filing fees - administrative</x:v>
      </x:c>
      <x:c r="C184" s="24" t="str">
        <x:v>EXP02</x:v>
      </x:c>
      <x:c r="D184" s="24" t="str">
        <x:v>Expenditure</x:v>
      </x:c>
      <x:c r="E184" s="24" t="str">
        <x:v>Profit or loss</x:v>
      </x:c>
      <x:c r="F184" s="24"/>
    </x:row>
    <x:row r="185">
      <x:c r="A185" s="25" t="str">
        <x:v>60000</x:v>
      </x:c>
      <x:c r="B185" s="24" t="str">
        <x:v>Basic salaries and wages</x:v>
      </x:c>
      <x:c r="C185" s="24" t="str">
        <x:v>EXP03</x:v>
      </x:c>
      <x:c r="D185" s="24" t="str">
        <x:v>Expenditure</x:v>
      </x:c>
      <x:c r="E185" s="24" t="str">
        <x:v>Profit or loss</x:v>
      </x:c>
      <x:c r="F185" s="24"/>
    </x:row>
    <x:row r="186">
      <x:c r="A186" s="25" t="str">
        <x:v>60010</x:v>
      </x:c>
      <x:c r="B186" s="24" t="str">
        <x:v>Casual wages</x:v>
      </x:c>
      <x:c r="C186" s="24" t="str">
        <x:v>EXP03</x:v>
      </x:c>
      <x:c r="D186" s="24" t="str">
        <x:v>Expenditure</x:v>
      </x:c>
      <x:c r="E186" s="24" t="str">
        <x:v>Profit or loss</x:v>
      </x:c>
      <x:c r="F186" s="24"/>
    </x:row>
    <x:row r="187">
      <x:c r="A187" s="25" t="str">
        <x:v>60020</x:v>
      </x:c>
      <x:c r="B187" s="24" t="str">
        <x:v>Overtime</x:v>
      </x:c>
      <x:c r="C187" s="24" t="str">
        <x:v>EXP03</x:v>
      </x:c>
      <x:c r="D187" s="24" t="str">
        <x:v>Expenditure</x:v>
      </x:c>
      <x:c r="E187" s="24" t="str">
        <x:v>Profit or loss</x:v>
      </x:c>
      <x:c r="F187" s="24"/>
    </x:row>
    <x:row r="188">
      <x:c r="A188" s="25" t="str">
        <x:v>60030</x:v>
      </x:c>
      <x:c r="B188" s="24" t="str">
        <x:v>Staff allowances</x:v>
      </x:c>
      <x:c r="C188" s="24" t="str">
        <x:v>EXP03</x:v>
      </x:c>
      <x:c r="D188" s="24" t="str">
        <x:v>Expenditure</x:v>
      </x:c>
      <x:c r="E188" s="24" t="str">
        <x:v>Profit or loss</x:v>
      </x:c>
      <x:c r="F188" s="24"/>
    </x:row>
    <x:row r="189">
      <x:c r="A189" s="25" t="str">
        <x:v>60040</x:v>
      </x:c>
      <x:c r="B189" s="24" t="str">
        <x:v>Bonuses and incentives</x:v>
      </x:c>
      <x:c r="C189" s="24" t="str">
        <x:v>EXP03</x:v>
      </x:c>
      <x:c r="D189" s="24" t="str">
        <x:v>Expenditure</x:v>
      </x:c>
      <x:c r="E189" s="24" t="str">
        <x:v>Profit or loss</x:v>
      </x:c>
      <x:c r="F189" s="24"/>
    </x:row>
    <x:row r="190">
      <x:c r="A190" s="25" t="str">
        <x:v>60050</x:v>
      </x:c>
      <x:c r="B190" s="24" t="str">
        <x:v>Employer NSSF contributions</x:v>
      </x:c>
      <x:c r="C190" s="24" t="str">
        <x:v>EXP03</x:v>
      </x:c>
      <x:c r="D190" s="24" t="str">
        <x:v>Expenditure</x:v>
      </x:c>
      <x:c r="E190" s="24" t="str">
        <x:v>Profit or loss</x:v>
      </x:c>
      <x:c r="F190" s="24"/>
    </x:row>
    <x:row r="191">
      <x:c r="A191" s="25" t="str">
        <x:v>60060</x:v>
      </x:c>
      <x:c r="B191" s="24" t="str">
        <x:v>Employer Affordable Housing Levy</x:v>
      </x:c>
      <x:c r="C191" s="24" t="str">
        <x:v>EXP03</x:v>
      </x:c>
      <x:c r="D191" s="24" t="str">
        <x:v>Expenditure</x:v>
      </x:c>
      <x:c r="E191" s="24" t="str">
        <x:v>Profit or loss</x:v>
      </x:c>
      <x:c r="F191" s="24"/>
    </x:row>
    <x:row r="192">
      <x:c r="A192" s="25" t="str">
        <x:v>60070</x:v>
      </x:c>
      <x:c r="B192" s="24" t="str">
        <x:v>NITA employer levy</x:v>
      </x:c>
      <x:c r="C192" s="24" t="str">
        <x:v>EXP03</x:v>
      </x:c>
      <x:c r="D192" s="24" t="str">
        <x:v>Expenditure</x:v>
      </x:c>
      <x:c r="E192" s="24" t="str">
        <x:v>Profit or loss</x:v>
      </x:c>
      <x:c r="F192" s="24"/>
    </x:row>
    <x:row r="193">
      <x:c r="A193" s="25" t="str">
        <x:v>60080</x:v>
      </x:c>
      <x:c r="B193" s="24" t="str">
        <x:v>Employer pension contributions</x:v>
      </x:c>
      <x:c r="C193" s="24" t="str">
        <x:v>EXP03</x:v>
      </x:c>
      <x:c r="D193" s="24" t="str">
        <x:v>Expenditure</x:v>
      </x:c>
      <x:c r="E193" s="24" t="str">
        <x:v>Profit or loss</x:v>
      </x:c>
      <x:c r="F193" s="24"/>
    </x:row>
    <x:row r="194">
      <x:c r="A194" s="25" t="str">
        <x:v>60090</x:v>
      </x:c>
      <x:c r="B194" s="24" t="str">
        <x:v>Employee medical insurance</x:v>
      </x:c>
      <x:c r="C194" s="24" t="str">
        <x:v>EXP03</x:v>
      </x:c>
      <x:c r="D194" s="24" t="str">
        <x:v>Expenditure</x:v>
      </x:c>
      <x:c r="E194" s="24" t="str">
        <x:v>Profit or loss</x:v>
      </x:c>
      <x:c r="F194" s="24"/>
    </x:row>
    <x:row r="195">
      <x:c r="A195" s="25" t="str">
        <x:v>60100</x:v>
      </x:c>
      <x:c r="B195" s="24" t="str">
        <x:v>Staff welfare</x:v>
      </x:c>
      <x:c r="C195" s="24" t="str">
        <x:v>EXP03</x:v>
      </x:c>
      <x:c r="D195" s="24" t="str">
        <x:v>Expenditure</x:v>
      </x:c>
      <x:c r="E195" s="24" t="str">
        <x:v>Profit or loss</x:v>
      </x:c>
      <x:c r="F195" s="24"/>
    </x:row>
    <x:row r="196">
      <x:c r="A196" s="25" t="str">
        <x:v>60110</x:v>
      </x:c>
      <x:c r="B196" s="24" t="str">
        <x:v>Leave pay and provisions</x:v>
      </x:c>
      <x:c r="C196" s="24" t="str">
        <x:v>EXP03</x:v>
      </x:c>
      <x:c r="D196" s="24" t="str">
        <x:v>Expenditure</x:v>
      </x:c>
      <x:c r="E196" s="24" t="str">
        <x:v>Profit or loss</x:v>
      </x:c>
      <x:c r="F196" s="24"/>
    </x:row>
    <x:row r="197">
      <x:c r="A197" s="25" t="str">
        <x:v>60120</x:v>
      </x:c>
      <x:c r="B197" s="24" t="str">
        <x:v>Gratuity and severance</x:v>
      </x:c>
      <x:c r="C197" s="24" t="str">
        <x:v>EXP03</x:v>
      </x:c>
      <x:c r="D197" s="24" t="str">
        <x:v>Expenditure</x:v>
      </x:c>
      <x:c r="E197" s="24" t="str">
        <x:v>Profit or loss</x:v>
      </x:c>
      <x:c r="F197" s="24"/>
    </x:row>
    <x:row r="198">
      <x:c r="A198" s="25" t="str">
        <x:v>60130</x:v>
      </x:c>
      <x:c r="B198" s="24" t="str">
        <x:v>Recruitment costs</x:v>
      </x:c>
      <x:c r="C198" s="24" t="str">
        <x:v>EXP03</x:v>
      </x:c>
      <x:c r="D198" s="24" t="str">
        <x:v>Expenditure</x:v>
      </x:c>
      <x:c r="E198" s="24" t="str">
        <x:v>Profit or loss</x:v>
      </x:c>
      <x:c r="F198" s="24"/>
    </x:row>
    <x:row r="199">
      <x:c r="A199" s="25" t="str">
        <x:v>60140</x:v>
      </x:c>
      <x:c r="B199" s="24" t="str">
        <x:v>Staff training</x:v>
      </x:c>
      <x:c r="C199" s="24" t="str">
        <x:v>EXP03</x:v>
      </x:c>
      <x:c r="D199" s="24" t="str">
        <x:v>Expenditure</x:v>
      </x:c>
      <x:c r="E199" s="24" t="str">
        <x:v>Profit or loss</x:v>
      </x:c>
      <x:c r="F199" s="24"/>
    </x:row>
    <x:row r="200">
      <x:c r="A200" s="25" t="str">
        <x:v>60150</x:v>
      </x:c>
      <x:c r="B200" s="24" t="str">
        <x:v>Directors salaries and fees</x:v>
      </x:c>
      <x:c r="C200" s="24" t="str">
        <x:v>EXP03</x:v>
      </x:c>
      <x:c r="D200" s="24" t="str">
        <x:v>Expenditure</x:v>
      </x:c>
      <x:c r="E200" s="24" t="str">
        <x:v>Profit or loss</x:v>
      </x:c>
      <x:c r="F200" s="24"/>
    </x:row>
    <x:row r="201">
      <x:c r="A201" s="25" t="str">
        <x:v>60160</x:v>
      </x:c>
      <x:c r="B201" s="24" t="str">
        <x:v>Taxable benefits employer costs</x:v>
      </x:c>
      <x:c r="C201" s="24" t="str">
        <x:v>EXP03</x:v>
      </x:c>
      <x:c r="D201" s="24" t="str">
        <x:v>Expenditure</x:v>
      </x:c>
      <x:c r="E201" s="24" t="str">
        <x:v>Profit or loss</x:v>
      </x:c>
      <x:c r="F201" s="24"/>
    </x:row>
    <x:row r="202">
      <x:c r="A202" s="25" t="str">
        <x:v>60170</x:v>
      </x:c>
      <x:c r="B202" s="24" t="str">
        <x:v>Other staff benefits</x:v>
      </x:c>
      <x:c r="C202" s="24" t="str">
        <x:v>EXP03</x:v>
      </x:c>
      <x:c r="D202" s="24" t="str">
        <x:v>Expenditure</x:v>
      </x:c>
      <x:c r="E202" s="24" t="str">
        <x:v>Profit or loss</x:v>
      </x:c>
      <x:c r="F202" s="24"/>
    </x:row>
    <x:row r="203">
      <x:c r="A203" s="25" t="str">
        <x:v>62000</x:v>
      </x:c>
      <x:c r="B203" s="24" t="str">
        <x:v>Loan interest - local</x:v>
      </x:c>
      <x:c r="C203" s="24" t="str">
        <x:v>EXP04</x:v>
      </x:c>
      <x:c r="D203" s="24" t="str">
        <x:v>Expenditure</x:v>
      </x:c>
      <x:c r="E203" s="24" t="str">
        <x:v>Profit or loss</x:v>
      </x:c>
      <x:c r="F203" s="24"/>
    </x:row>
    <x:row r="204">
      <x:c r="A204" s="25" t="str">
        <x:v>62010</x:v>
      </x:c>
      <x:c r="B204" s="24" t="str">
        <x:v>Loan interest - foreign</x:v>
      </x:c>
      <x:c r="C204" s="24" t="str">
        <x:v>EXP04</x:v>
      </x:c>
      <x:c r="D204" s="24" t="str">
        <x:v>Expenditure</x:v>
      </x:c>
      <x:c r="E204" s="24" t="str">
        <x:v>Profit or loss</x:v>
      </x:c>
      <x:c r="F204" s="24"/>
    </x:row>
    <x:row r="205">
      <x:c r="A205" s="25" t="str">
        <x:v>62020</x:v>
      </x:c>
      <x:c r="B205" s="24" t="str">
        <x:v>Lease finance interest</x:v>
      </x:c>
      <x:c r="C205" s="24" t="str">
        <x:v>EXP04</x:v>
      </x:c>
      <x:c r="D205" s="24" t="str">
        <x:v>Expenditure</x:v>
      </x:c>
      <x:c r="E205" s="24" t="str">
        <x:v>Profit or loss</x:v>
      </x:c>
      <x:c r="F205" s="24"/>
    </x:row>
    <x:row r="206">
      <x:c r="A206" s="25" t="str">
        <x:v>62030</x:v>
      </x:c>
      <x:c r="B206" s="24" t="str">
        <x:v>Overdraft interest</x:v>
      </x:c>
      <x:c r="C206" s="24" t="str">
        <x:v>EXP04</x:v>
      </x:c>
      <x:c r="D206" s="24" t="str">
        <x:v>Expenditure</x:v>
      </x:c>
      <x:c r="E206" s="24" t="str">
        <x:v>Profit or loss</x:v>
      </x:c>
      <x:c r="F206" s="24"/>
    </x:row>
    <x:row r="207">
      <x:c r="A207" s="25" t="str">
        <x:v>62040</x:v>
      </x:c>
      <x:c r="B207" s="24" t="str">
        <x:v>Hire-purchase interest</x:v>
      </x:c>
      <x:c r="C207" s="24" t="str">
        <x:v>EXP04</x:v>
      </x:c>
      <x:c r="D207" s="24" t="str">
        <x:v>Expenditure</x:v>
      </x:c>
      <x:c r="E207" s="24" t="str">
        <x:v>Profit or loss</x:v>
      </x:c>
      <x:c r="F207" s="24"/>
    </x:row>
    <x:row r="208">
      <x:c r="A208" s="25" t="str">
        <x:v>62050</x:v>
      </x:c>
      <x:c r="B208" s="24" t="str">
        <x:v>Foreign exchange losses - financing</x:v>
      </x:c>
      <x:c r="C208" s="24" t="str">
        <x:v>EXP04</x:v>
      </x:c>
      <x:c r="D208" s="24" t="str">
        <x:v>Expenditure</x:v>
      </x:c>
      <x:c r="E208" s="24" t="str">
        <x:v>Profit or loss</x:v>
      </x:c>
      <x:c r="F208" s="24"/>
    </x:row>
    <x:row r="209">
      <x:c r="A209" s="25" t="str">
        <x:v>62060</x:v>
      </x:c>
      <x:c r="B209" s="24" t="str">
        <x:v>Loan arrangement fees</x:v>
      </x:c>
      <x:c r="C209" s="24" t="str">
        <x:v>EXP04</x:v>
      </x:c>
      <x:c r="D209" s="24" t="str">
        <x:v>Expenditure</x:v>
      </x:c>
      <x:c r="E209" s="24" t="str">
        <x:v>Profit or loss</x:v>
      </x:c>
      <x:c r="F209" s="24"/>
    </x:row>
    <x:row r="210">
      <x:c r="A210" s="25" t="str">
        <x:v>62070</x:v>
      </x:c>
      <x:c r="B210" s="24" t="str">
        <x:v>Financing penalties - review</x:v>
      </x:c>
      <x:c r="C210" s="24" t="str">
        <x:v>EXP04</x:v>
      </x:c>
      <x:c r="D210" s="24" t="str">
        <x:v>Expenditure</x:v>
      </x:c>
      <x:c r="E210" s="24" t="str">
        <x:v>Profit or loss</x:v>
      </x:c>
      <x:c r="F210" s="24"/>
    </x:row>
    <x:row r="211">
      <x:c r="A211" s="25" t="str">
        <x:v>62080</x:v>
      </x:c>
      <x:c r="B211" s="24" t="str">
        <x:v>Discount unwinding</x:v>
      </x:c>
      <x:c r="C211" s="24" t="str">
        <x:v>EXP04</x:v>
      </x:c>
      <x:c r="D211" s="24" t="str">
        <x:v>Expenditure</x:v>
      </x:c>
      <x:c r="E211" s="24" t="str">
        <x:v>Profit or loss</x:v>
      </x:c>
      <x:c r="F211" s="24"/>
    </x:row>
    <x:row r="212">
      <x:c r="A212" s="25" t="str">
        <x:v>62090</x:v>
      </x:c>
      <x:c r="B212" s="24" t="str">
        <x:v>Other finance costs</x:v>
      </x:c>
      <x:c r="C212" s="24" t="str">
        <x:v>EXP04</x:v>
      </x:c>
      <x:c r="D212" s="24" t="str">
        <x:v>Expenditure</x:v>
      </x:c>
      <x:c r="E212" s="24" t="str">
        <x:v>Profit or loss</x:v>
      </x:c>
      <x:c r="F212" s="24"/>
    </x:row>
    <x:row r="213">
      <x:c r="A213" s="25" t="str">
        <x:v>65000</x:v>
      </x:c>
      <x:c r="B213" s="24" t="str">
        <x:v>Donations - allowable review</x:v>
      </x:c>
      <x:c r="C213" s="24" t="str">
        <x:v>EXP05</x:v>
      </x:c>
      <x:c r="D213" s="24" t="str">
        <x:v>Expenditure</x:v>
      </x:c>
      <x:c r="E213" s="24" t="str">
        <x:v>Profit or loss</x:v>
      </x:c>
      <x:c r="F213" s="24"/>
    </x:row>
    <x:row r="214">
      <x:c r="A214" s="25" t="str">
        <x:v>65010</x:v>
      </x:c>
      <x:c r="B214" s="24" t="str">
        <x:v>Gifts and entertainment - review</x:v>
      </x:c>
      <x:c r="C214" s="24" t="str">
        <x:v>EXP05</x:v>
      </x:c>
      <x:c r="D214" s="24" t="str">
        <x:v>Expenditure</x:v>
      </x:c>
      <x:c r="E214" s="24" t="str">
        <x:v>Profit or loss</x:v>
      </x:c>
      <x:c r="F214" s="24"/>
    </x:row>
    <x:row r="215">
      <x:c r="A215" s="25" t="str">
        <x:v>65020</x:v>
      </x:c>
      <x:c r="B215" s="24" t="str">
        <x:v>Bad debts written off</x:v>
      </x:c>
      <x:c r="C215" s="24" t="str">
        <x:v>EXP05</x:v>
      </x:c>
      <x:c r="D215" s="24" t="str">
        <x:v>Expenditure</x:v>
      </x:c>
      <x:c r="E215" s="24" t="str">
        <x:v>Profit or loss</x:v>
      </x:c>
      <x:c r="F215" s="24"/>
    </x:row>
    <x:row r="216">
      <x:c r="A216" s="25" t="str">
        <x:v>65030</x:v>
      </x:c>
      <x:c r="B216" s="24" t="str">
        <x:v>Expected credit loss expense</x:v>
      </x:c>
      <x:c r="C216" s="24" t="str">
        <x:v>EXP05</x:v>
      </x:c>
      <x:c r="D216" s="24" t="str">
        <x:v>Expenditure</x:v>
      </x:c>
      <x:c r="E216" s="24" t="str">
        <x:v>Profit or loss</x:v>
      </x:c>
      <x:c r="F216" s="24"/>
    </x:row>
    <x:row r="217">
      <x:c r="A217" s="25" t="str">
        <x:v>65040</x:v>
      </x:c>
      <x:c r="B217" s="24" t="str">
        <x:v>Fines and penalties - add back</x:v>
      </x:c>
      <x:c r="C217" s="24" t="str">
        <x:v>EXP05</x:v>
      </x:c>
      <x:c r="D217" s="24" t="str">
        <x:v>Expenditure</x:v>
      </x:c>
      <x:c r="E217" s="24" t="str">
        <x:v>Profit or loss</x:v>
      </x:c>
      <x:c r="F217" s="24"/>
    </x:row>
    <x:row r="218">
      <x:c r="A218" s="25" t="str">
        <x:v>65050</x:v>
      </x:c>
      <x:c r="B218" s="24" t="str">
        <x:v>Subscriptions and memberships - other</x:v>
      </x:c>
      <x:c r="C218" s="24" t="str">
        <x:v>EXP05</x:v>
      </x:c>
      <x:c r="D218" s="24" t="str">
        <x:v>Expenditure</x:v>
      </x:c>
      <x:c r="E218" s="24" t="str">
        <x:v>Profit or loss</x:v>
      </x:c>
      <x:c r="F218" s="24"/>
    </x:row>
    <x:row r="219">
      <x:c r="A219" s="25" t="str">
        <x:v>65060</x:v>
      </x:c>
      <x:c r="B219" s="24" t="str">
        <x:v>Loss on disposal of assets</x:v>
      </x:c>
      <x:c r="C219" s="24" t="str">
        <x:v>EXP05</x:v>
      </x:c>
      <x:c r="D219" s="24" t="str">
        <x:v>Expenditure</x:v>
      </x:c>
      <x:c r="E219" s="24" t="str">
        <x:v>Profit or loss</x:v>
      </x:c>
      <x:c r="F219" s="24"/>
    </x:row>
    <x:row r="220">
      <x:c r="A220" s="25" t="str">
        <x:v>65070</x:v>
      </x:c>
      <x:c r="B220" s="24" t="str">
        <x:v>Foreign exchange loss - operating</x:v>
      </x:c>
      <x:c r="C220" s="24" t="str">
        <x:v>EXP05</x:v>
      </x:c>
      <x:c r="D220" s="24" t="str">
        <x:v>Expenditure</x:v>
      </x:c>
      <x:c r="E220" s="24" t="str">
        <x:v>Profit or loss</x:v>
      </x:c>
      <x:c r="F220" s="24"/>
    </x:row>
    <x:row r="221">
      <x:c r="A221" s="25" t="str">
        <x:v>65080</x:v>
      </x:c>
      <x:c r="B221" s="24" t="str">
        <x:v>Miscellaneous expenditure - review</x:v>
      </x:c>
      <x:c r="C221" s="24" t="str">
        <x:v>EXP05</x:v>
      </x:c>
      <x:c r="D221" s="24" t="str">
        <x:v>Expenditure</x:v>
      </x:c>
      <x:c r="E221" s="24" t="str">
        <x:v>Profit or loss</x:v>
      </x:c>
      <x:c r="F221" s="24"/>
    </x:row>
    <x:row r="222">
      <x:c r="A222" s="25" t="str">
        <x:v>65090</x:v>
      </x:c>
      <x:c r="B222" s="24" t="str">
        <x:v>Charitable contributions - review</x:v>
      </x:c>
      <x:c r="C222" s="24" t="str">
        <x:v>EXP05</x:v>
      </x:c>
      <x:c r="D222" s="24" t="str">
        <x:v>Expenditure</x:v>
      </x:c>
      <x:c r="E222" s="24" t="str">
        <x:v>Profit or loss</x:v>
      </x:c>
      <x:c r="F222" s="24"/>
    </x:row>
    <x:row r="223">
      <x:c r="A223" s="25" t="str">
        <x:v>65100</x:v>
      </x:c>
      <x:c r="B223" s="24" t="str">
        <x:v>Insurance claims shortfall</x:v>
      </x:c>
      <x:c r="C223" s="24" t="str">
        <x:v>EXP05</x:v>
      </x:c>
      <x:c r="D223" s="24" t="str">
        <x:v>Expenditure</x:v>
      </x:c>
      <x:c r="E223" s="24" t="str">
        <x:v>Profit or loss</x:v>
      </x:c>
      <x:c r="F223" s="24"/>
    </x:row>
    <x:row r="224">
      <x:c r="A224" s="25" t="str">
        <x:v>65110</x:v>
      </x:c>
      <x:c r="B224" s="24" t="str">
        <x:v>Loss from disasters / incidents</x:v>
      </x:c>
      <x:c r="C224" s="24" t="str">
        <x:v>EXP05</x:v>
      </x:c>
      <x:c r="D224" s="24" t="str">
        <x:v>Expenditure</x:v>
      </x:c>
      <x:c r="E224" s="24" t="str">
        <x:v>Profit or loss</x:v>
      </x:c>
      <x:c r="F224" s="24"/>
    </x:row>
    <x:row r="225">
      <x:c r="A225" s="25" t="str">
        <x:v>51000</x:v>
      </x:c>
      <x:c r="B225" s="24" t="str">
        <x:v>Customs duty - expense not inventory</x:v>
      </x:c>
      <x:c r="C225" s="24" t="str">
        <x:v>EXP06</x:v>
      </x:c>
      <x:c r="D225" s="24" t="str">
        <x:v>Expenditure</x:v>
      </x:c>
      <x:c r="E225" s="24" t="str">
        <x:v>Profit or loss</x:v>
      </x:c>
      <x:c r="F225" s="24"/>
    </x:row>
    <x:row r="226">
      <x:c r="A226" s="25" t="str">
        <x:v>51010</x:v>
      </x:c>
      <x:c r="B226" s="24" t="str">
        <x:v>Freight - direct expense</x:v>
      </x:c>
      <x:c r="C226" s="24" t="str">
        <x:v>EXP06</x:v>
      </x:c>
      <x:c r="D226" s="24" t="str">
        <x:v>Expenditure</x:v>
      </x:c>
      <x:c r="E226" s="24" t="str">
        <x:v>Profit or loss</x:v>
      </x:c>
      <x:c r="F226" s="24"/>
    </x:row>
    <x:row r="227">
      <x:c r="A227" s="25" t="str">
        <x:v>51020</x:v>
      </x:c>
      <x:c r="B227" s="24" t="str">
        <x:v>Port / handling charges - expense</x:v>
      </x:c>
      <x:c r="C227" s="24" t="str">
        <x:v>EXP06</x:v>
      </x:c>
      <x:c r="D227" s="24" t="str">
        <x:v>Expenditure</x:v>
      </x:c>
      <x:c r="E227" s="24" t="str">
        <x:v>Profit or loss</x:v>
      </x:c>
      <x:c r="F227" s="24"/>
    </x:row>
    <x:row r="228">
      <x:c r="A228" s="25" t="str">
        <x:v>51030</x:v>
      </x:c>
      <x:c r="B228" s="24" t="str">
        <x:v>Customs clearing agent fees - expense</x:v>
      </x:c>
      <x:c r="C228" s="24" t="str">
        <x:v>EXP06</x:v>
      </x:c>
      <x:c r="D228" s="24" t="str">
        <x:v>Expenditure</x:v>
      </x:c>
      <x:c r="E228" s="24" t="str">
        <x:v>Profit or loss</x:v>
      </x:c>
      <x:c r="F228" s="24"/>
    </x:row>
    <x:row r="229">
      <x:c r="A229" s="25" t="str">
        <x:v>51040</x:v>
      </x:c>
      <x:c r="B229" s="24" t="str">
        <x:v>Import inspection and compliance</x:v>
      </x:c>
      <x:c r="C229" s="24" t="str">
        <x:v>EXP06</x:v>
      </x:c>
      <x:c r="D229" s="24" t="str">
        <x:v>Expenditure</x:v>
      </x:c>
      <x:c r="E229" s="24" t="str">
        <x:v>Profit or loss</x:v>
      </x:c>
      <x:c r="F229" s="24"/>
    </x:row>
    <x:row r="230">
      <x:c r="A230" s="25" t="str">
        <x:v>51050</x:v>
      </x:c>
      <x:c r="B230" s="24" t="str">
        <x:v>Import demurrage - review</x:v>
      </x:c>
      <x:c r="C230" s="24" t="str">
        <x:v>EXP06</x:v>
      </x:c>
      <x:c r="D230" s="24" t="str">
        <x:v>Expenditure</x:v>
      </x:c>
      <x:c r="E230" s="24" t="str">
        <x:v>Profit or loss</x:v>
      </x:c>
      <x:c r="F230" s="24"/>
    </x:row>
    <x:row r="231">
      <x:c r="A231" s="25" t="str">
        <x:v>51060</x:v>
      </x:c>
      <x:c r="B231" s="24" t="str">
        <x:v>Nonrecoverable import VAT - expense</x:v>
      </x:c>
      <x:c r="C231" s="24" t="str">
        <x:v>EXP06</x:v>
      </x:c>
      <x:c r="D231" s="24" t="str">
        <x:v>Expenditure</x:v>
      </x:c>
      <x:c r="E231" s="24" t="str">
        <x:v>Profit or loss</x:v>
      </x:c>
      <x:c r="F231" s="24"/>
    </x:row>
    <x:row r="232">
      <x:c r="A232" s="25" t="str">
        <x:v>51070</x:v>
      </x:c>
      <x:c r="B232" s="24" t="str">
        <x:v>Excise duty absorbed as expense</x:v>
      </x:c>
      <x:c r="C232" s="24" t="str">
        <x:v>EXP06</x:v>
      </x:c>
      <x:c r="D232" s="24" t="str">
        <x:v>Expenditure</x:v>
      </x:c>
      <x:c r="E232" s="24" t="str">
        <x:v>Profit or loss</x:v>
      </x:c>
      <x:c r="F232" s="24"/>
    </x:row>
    <x:row r="233">
      <x:c r="A233" s="25" t="str">
        <x:v>51080</x:v>
      </x:c>
      <x:c r="B233" s="24" t="str">
        <x:v>Foreign logistics - administrative</x:v>
      </x:c>
      <x:c r="C233" s="24" t="str">
        <x:v>EXP06</x:v>
      </x:c>
      <x:c r="D233" s="24" t="str">
        <x:v>Expenditure</x:v>
      </x:c>
      <x:c r="E233" s="24" t="str">
        <x:v>Profit or loss</x:v>
      </x:c>
      <x:c r="F233" s="24"/>
    </x:row>
    <x:row r="234">
      <x:c r="A234" s="25" t="str">
        <x:v>51090</x:v>
      </x:c>
      <x:c r="B234" s="24" t="str">
        <x:v>Import documentary charges</x:v>
      </x:c>
      <x:c r="C234" s="24" t="str">
        <x:v>EXP06</x:v>
      </x:c>
      <x:c r="D234" s="24" t="str">
        <x:v>Expenditure</x:v>
      </x:c>
      <x:c r="E234" s="24" t="str">
        <x:v>Profit or loss</x:v>
      </x:c>
      <x:c r="F234" s="24"/>
    </x:row>
    <x:row r="235">
      <x:c r="A235" s="25" t="str">
        <x:v>63000</x:v>
      </x:c>
      <x:c r="B235" s="24" t="str">
        <x:v>Accounting and bookkeeping fees</x:v>
      </x:c>
      <x:c r="C235" s="24" t="str">
        <x:v>EXP07</x:v>
      </x:c>
      <x:c r="D235" s="24" t="str">
        <x:v>Expenditure</x:v>
      </x:c>
      <x:c r="E235" s="24" t="str">
        <x:v>Profit or loss</x:v>
      </x:c>
      <x:c r="F235" s="24"/>
    </x:row>
    <x:row r="236">
      <x:c r="A236" s="25" t="str">
        <x:v>63010</x:v>
      </x:c>
      <x:c r="B236" s="24" t="str">
        <x:v>External audit fees</x:v>
      </x:c>
      <x:c r="C236" s="24" t="str">
        <x:v>EXP07</x:v>
      </x:c>
      <x:c r="D236" s="24" t="str">
        <x:v>Expenditure</x:v>
      </x:c>
      <x:c r="E236" s="24" t="str">
        <x:v>Profit or loss</x:v>
      </x:c>
      <x:c r="F236" s="24"/>
    </x:row>
    <x:row r="237">
      <x:c r="A237" s="25" t="str">
        <x:v>63020</x:v>
      </x:c>
      <x:c r="B237" s="24" t="str">
        <x:v>Tax compliance and advisory</x:v>
      </x:c>
      <x:c r="C237" s="24" t="str">
        <x:v>EXP07</x:v>
      </x:c>
      <x:c r="D237" s="24" t="str">
        <x:v>Expenditure</x:v>
      </x:c>
      <x:c r="E237" s="24" t="str">
        <x:v>Profit or loss</x:v>
      </x:c>
      <x:c r="F237" s="24"/>
    </x:row>
    <x:row r="238">
      <x:c r="A238" s="25" t="str">
        <x:v>63030</x:v>
      </x:c>
      <x:c r="B238" s="24" t="str">
        <x:v>Legal fees</x:v>
      </x:c>
      <x:c r="C238" s="24" t="str">
        <x:v>EXP07</x:v>
      </x:c>
      <x:c r="D238" s="24" t="str">
        <x:v>Expenditure</x:v>
      </x:c>
      <x:c r="E238" s="24" t="str">
        <x:v>Profit or loss</x:v>
      </x:c>
      <x:c r="F238" s="24"/>
    </x:row>
    <x:row r="239">
      <x:c r="A239" s="25" t="str">
        <x:v>63040</x:v>
      </x:c>
      <x:c r="B239" s="24" t="str">
        <x:v>Management consulting fees</x:v>
      </x:c>
      <x:c r="C239" s="24" t="str">
        <x:v>EXP07</x:v>
      </x:c>
      <x:c r="D239" s="24" t="str">
        <x:v>Expenditure</x:v>
      </x:c>
      <x:c r="E239" s="24" t="str">
        <x:v>Profit or loss</x:v>
      </x:c>
      <x:c r="F239" s="24"/>
    </x:row>
    <x:row r="240">
      <x:c r="A240" s="25" t="str">
        <x:v>63050</x:v>
      </x:c>
      <x:c r="B240" s="24" t="str">
        <x:v>Technical consulting fees</x:v>
      </x:c>
      <x:c r="C240" s="24" t="str">
        <x:v>EXP07</x:v>
      </x:c>
      <x:c r="D240" s="24" t="str">
        <x:v>Expenditure</x:v>
      </x:c>
      <x:c r="E240" s="24" t="str">
        <x:v>Profit or loss</x:v>
      </x:c>
      <x:c r="F240" s="24"/>
    </x:row>
    <x:row r="241">
      <x:c r="A241" s="25" t="str">
        <x:v>63060</x:v>
      </x:c>
      <x:c r="B241" s="24" t="str">
        <x:v>Architect / engineer professional fees</x:v>
      </x:c>
      <x:c r="C241" s="24" t="str">
        <x:v>EXP07</x:v>
      </x:c>
      <x:c r="D241" s="24" t="str">
        <x:v>Expenditure</x:v>
      </x:c>
      <x:c r="E241" s="24" t="str">
        <x:v>Profit or loss</x:v>
      </x:c>
      <x:c r="F241" s="24"/>
    </x:row>
    <x:row r="242">
      <x:c r="A242" s="25" t="str">
        <x:v>63070</x:v>
      </x:c>
      <x:c r="B242" s="24" t="str">
        <x:v>Valuation and appraisal fees</x:v>
      </x:c>
      <x:c r="C242" s="24" t="str">
        <x:v>EXP07</x:v>
      </x:c>
      <x:c r="D242" s="24" t="str">
        <x:v>Expenditure</x:v>
      </x:c>
      <x:c r="E242" s="24" t="str">
        <x:v>Profit or loss</x:v>
      </x:c>
      <x:c r="F242" s="24"/>
    </x:row>
    <x:row r="243">
      <x:c r="A243" s="25" t="str">
        <x:v>63080</x:v>
      </x:c>
      <x:c r="B243" s="24" t="str">
        <x:v>Professional retainer</x:v>
      </x:c>
      <x:c r="C243" s="24" t="str">
        <x:v>EXP07</x:v>
      </x:c>
      <x:c r="D243" s="24" t="str">
        <x:v>Expenditure</x:v>
      </x:c>
      <x:c r="E243" s="24" t="str">
        <x:v>Profit or loss</x:v>
      </x:c>
      <x:c r="F243" s="24"/>
    </x:row>
    <x:row r="244">
      <x:c r="A244" s="25" t="str">
        <x:v>63090</x:v>
      </x:c>
      <x:c r="B244" s="24" t="str">
        <x:v>Professional fees - overseas</x:v>
      </x:c>
      <x:c r="C244" s="24" t="str">
        <x:v>EXP07</x:v>
      </x:c>
      <x:c r="D244" s="24" t="str">
        <x:v>Expenditure</x:v>
      </x:c>
      <x:c r="E244" s="24" t="str">
        <x:v>Profit or loss</x:v>
      </x:c>
      <x:c r="F244" s="24"/>
    </x:row>
    <x:row r="245">
      <x:c r="A245" s="25" t="str">
        <x:v>63100</x:v>
      </x:c>
      <x:c r="B245" s="24" t="str">
        <x:v>Professional service disbursements</x:v>
      </x:c>
      <x:c r="C245" s="24" t="str">
        <x:v>EXP07</x:v>
      </x:c>
      <x:c r="D245" s="24" t="str">
        <x:v>Expenditure</x:v>
      </x:c>
      <x:c r="E245" s="24" t="str">
        <x:v>Profit or loss</x:v>
      </x:c>
      <x:c r="F245" s="24"/>
    </x:row>
    <x:row r="246">
      <x:c r="A246" s="25" t="str">
        <x:v>62500</x:v>
      </x:c>
      <x:c r="B246" s="24" t="str">
        <x:v>Bank transaction fees</x:v>
      </x:c>
      <x:c r="C246" s="24" t="str">
        <x:v>EXP08</x:v>
      </x:c>
      <x:c r="D246" s="24" t="str">
        <x:v>Expenditure</x:v>
      </x:c>
      <x:c r="E246" s="24" t="str">
        <x:v>Profit or loss</x:v>
      </x:c>
      <x:c r="F246" s="24"/>
    </x:row>
    <x:row r="247">
      <x:c r="A247" s="25" t="str">
        <x:v>62510</x:v>
      </x:c>
      <x:c r="B247" s="24" t="str">
        <x:v>Bank monthly service charges</x:v>
      </x:c>
      <x:c r="C247" s="24" t="str">
        <x:v>EXP08</x:v>
      </x:c>
      <x:c r="D247" s="24" t="str">
        <x:v>Expenditure</x:v>
      </x:c>
      <x:c r="E247" s="24" t="str">
        <x:v>Profit or loss</x:v>
      </x:c>
      <x:c r="F247" s="24"/>
    </x:row>
    <x:row r="248">
      <x:c r="A248" s="25" t="str">
        <x:v>62520</x:v>
      </x:c>
      <x:c r="B248" s="24" t="str">
        <x:v>Bank transfer / RTGS fees</x:v>
      </x:c>
      <x:c r="C248" s="24" t="str">
        <x:v>EXP08</x:v>
      </x:c>
      <x:c r="D248" s="24" t="str">
        <x:v>Expenditure</x:v>
      </x:c>
      <x:c r="E248" s="24" t="str">
        <x:v>Profit or loss</x:v>
      </x:c>
      <x:c r="F248" s="24"/>
    </x:row>
    <x:row r="249">
      <x:c r="A249" s="25" t="str">
        <x:v>62530</x:v>
      </x:c>
      <x:c r="B249" s="24" t="str">
        <x:v>Mobile money transaction fees</x:v>
      </x:c>
      <x:c r="C249" s="24" t="str">
        <x:v>EXP08</x:v>
      </x:c>
      <x:c r="D249" s="24" t="str">
        <x:v>Expenditure</x:v>
      </x:c>
      <x:c r="E249" s="24" t="str">
        <x:v>Profit or loss</x:v>
      </x:c>
      <x:c r="F249" s="24"/>
    </x:row>
    <x:row r="250">
      <x:c r="A250" s="25" t="str">
        <x:v>62540</x:v>
      </x:c>
      <x:c r="B250" s="24" t="str">
        <x:v>Card processing bank fees</x:v>
      </x:c>
      <x:c r="C250" s="24" t="str">
        <x:v>EXP08</x:v>
      </x:c>
      <x:c r="D250" s="24" t="str">
        <x:v>Expenditure</x:v>
      </x:c>
      <x:c r="E250" s="24" t="str">
        <x:v>Profit or loss</x:v>
      </x:c>
      <x:c r="F250" s="24"/>
    </x:row>
    <x:row r="251">
      <x:c r="A251" s="25" t="str">
        <x:v>62550</x:v>
      </x:c>
      <x:c r="B251" s="24" t="str">
        <x:v>Bank cheque / collection charges</x:v>
      </x:c>
      <x:c r="C251" s="24" t="str">
        <x:v>EXP08</x:v>
      </x:c>
      <x:c r="D251" s="24" t="str">
        <x:v>Expenditure</x:v>
      </x:c>
      <x:c r="E251" s="24" t="str">
        <x:v>Profit or loss</x:v>
      </x:c>
      <x:c r="F251" s="24"/>
    </x:row>
    <x:row r="252">
      <x:c r="A252" s="25" t="str">
        <x:v>62560</x:v>
      </x:c>
      <x:c r="B252" s="24" t="str">
        <x:v>Foreign currency banking fees</x:v>
      </x:c>
      <x:c r="C252" s="24" t="str">
        <x:v>EXP08</x:v>
      </x:c>
      <x:c r="D252" s="24" t="str">
        <x:v>Expenditure</x:v>
      </x:c>
      <x:c r="E252" s="24" t="str">
        <x:v>Profit or loss</x:v>
      </x:c>
      <x:c r="F252" s="24"/>
    </x:row>
    <x:row r="253">
      <x:c r="A253" s="25" t="str">
        <x:v>62570</x:v>
      </x:c>
      <x:c r="B253" s="24" t="str">
        <x:v>Other bank charges</x:v>
      </x:c>
      <x:c r="C253" s="24" t="str">
        <x:v>EXP08</x:v>
      </x:c>
      <x:c r="D253" s="24" t="str">
        <x:v>Expenditure</x:v>
      </x:c>
      <x:c r="E253" s="24" t="str">
        <x:v>Profit or loss</x:v>
      </x:c>
      <x:c r="F253" s="24"/>
    </x:row>
    <x:row r="254">
      <x:c r="A254" s="25" t="str">
        <x:v>69900</x:v>
      </x:c>
      <x:c r="B254" s="24" t="str">
        <x:v>Unclassified expense - reviewer decision</x:v>
      </x:c>
      <x:c r="C254" s="24" t="str">
        <x:v>EXP09</x:v>
      </x:c>
      <x:c r="D254" s="24" t="str">
        <x:v>Expenditure</x:v>
      </x:c>
      <x:c r="E254" s="24" t="str">
        <x:v>Profit or loss</x:v>
      </x:c>
      <x:c r="F254" s="24"/>
    </x:row>
    <x:row r="255">
      <x:c r="A255" s="25" t="str">
        <x:v>69910</x:v>
      </x:c>
      <x:c r="B255" s="24" t="str">
        <x:v>Missing evidence / pending approval</x:v>
      </x:c>
      <x:c r="C255" s="24" t="str">
        <x:v>EXP09</x:v>
      </x:c>
      <x:c r="D255" s="24" t="str">
        <x:v>Expenditure</x:v>
      </x:c>
      <x:c r="E255" s="24" t="str">
        <x:v>Profit or loss</x:v>
      </x:c>
      <x:c r="F255" s="24"/>
    </x:row>
    <x:row r="256">
      <x:c r="A256" s="25" t="str">
        <x:v>69920</x:v>
      </x:c>
      <x:c r="B256" s="24" t="str">
        <x:v>Potential private expenditure</x:v>
      </x:c>
      <x:c r="C256" s="24" t="str">
        <x:v>EXP09</x:v>
      </x:c>
      <x:c r="D256" s="24" t="str">
        <x:v>Expenditure</x:v>
      </x:c>
      <x:c r="E256" s="24" t="str">
        <x:v>Profit or loss</x:v>
      </x:c>
      <x:c r="F256" s="24"/>
    </x:row>
    <x:row r="257">
      <x:c r="A257" s="25" t="str">
        <x:v>69930</x:v>
      </x:c>
      <x:c r="B257" s="24" t="str">
        <x:v>Non-eTIMS unresolved evidence</x:v>
      </x:c>
      <x:c r="C257" s="24" t="str">
        <x:v>EXP09</x:v>
      </x:c>
      <x:c r="D257" s="24" t="str">
        <x:v>Expenditure</x:v>
      </x:c>
      <x:c r="E257" s="24" t="str">
        <x:v>Profit or loss</x:v>
      </x:c>
      <x:c r="F257" s="24"/>
    </x:row>
    <x:row r="258">
      <x:c r="A258" s="25" t="str">
        <x:v>69940</x:v>
      </x:c>
      <x:c r="B258" s="24" t="str">
        <x:v>VAT invoice mismatch</x:v>
      </x:c>
      <x:c r="C258" s="24" t="str">
        <x:v>EXP09</x:v>
      </x:c>
      <x:c r="D258" s="24" t="str">
        <x:v>Expenditure</x:v>
      </x:c>
      <x:c r="E258" s="24" t="str">
        <x:v>Profit or loss</x:v>
      </x:c>
      <x:c r="F258" s="24"/>
    </x:row>
    <x:row r="259">
      <x:c r="A259" s="25" t="str">
        <x:v>69950</x:v>
      </x:c>
      <x:c r="B259" s="24" t="str">
        <x:v>Withholding tax unresolved</x:v>
      </x:c>
      <x:c r="C259" s="24" t="str">
        <x:v>EXP09</x:v>
      </x:c>
      <x:c r="D259" s="24" t="str">
        <x:v>Expenditure</x:v>
      </x:c>
      <x:c r="E259" s="24" t="str">
        <x:v>Profit or loss</x:v>
      </x:c>
      <x:c r="F259" s="24"/>
    </x:row>
    <x:row r="260">
      <x:c r="A260" s="25" t="str">
        <x:v>69960</x:v>
      </x:c>
      <x:c r="B260" s="24" t="str">
        <x:v>Duplicate purchase / expense suspected</x:v>
      </x:c>
      <x:c r="C260" s="24" t="str">
        <x:v>EXP09</x:v>
      </x:c>
      <x:c r="D260" s="24" t="str">
        <x:v>Expenditure</x:v>
      </x:c>
      <x:c r="E260" s="24" t="str">
        <x:v>Profit or loss</x:v>
      </x:c>
      <x:c r="F260" s="24"/>
    </x:row>
    <x:row r="261">
      <x:c r="A261" s="25" t="str">
        <x:v>69970</x:v>
      </x:c>
      <x:c r="B261" s="24" t="str">
        <x:v>Related-party pricing review</x:v>
      </x:c>
      <x:c r="C261" s="24" t="str">
        <x:v>EXP09</x:v>
      </x:c>
      <x:c r="D261" s="24" t="str">
        <x:v>Expenditure</x:v>
      </x:c>
      <x:c r="E261" s="24" t="str">
        <x:v>Profit or loss</x:v>
      </x:c>
      <x:c r="F261" s="24"/>
    </x:row>
    <x:row r="262">
      <x:c r="A262" s="25" t="str">
        <x:v>69980</x:v>
      </x:c>
      <x:c r="B262" s="24" t="str">
        <x:v>Disallowed expense / tax add-back review</x:v>
      </x:c>
      <x:c r="C262" s="24" t="str">
        <x:v>EXP09</x:v>
      </x:c>
      <x:c r="D262" s="24" t="str">
        <x:v>Expenditure</x:v>
      </x:c>
      <x:c r="E262" s="24" t="str">
        <x:v>Profit or loss</x:v>
      </x:c>
      <x:c r="F262" s="24"/>
    </x:row>
    <x:row r="263">
      <x:c r="A263" s="25" t="str">
        <x:v>69990</x:v>
      </x:c>
      <x:c r="B263" s="24" t="str">
        <x:v>Prior-period expenditure review</x:v>
      </x:c>
      <x:c r="C263" s="24" t="str">
        <x:v>EXP09</x:v>
      </x:c>
      <x:c r="D263" s="24" t="str">
        <x:v>Expenditure</x:v>
      </x:c>
      <x:c r="E263" s="24" t="str">
        <x:v>Profit or loss</x:v>
      </x:c>
      <x:c r="F263" s="24"/>
    </x:row>
    <x:row r="264">
      <x:c r="A264" s="25" t="str">
        <x:v>67010</x:v>
      </x:c>
      <x:c r="B264" s="24" t="str">
        <x:v>Depreciation - buildings</x:v>
      </x:c>
      <x:c r="C264" s="24" t="str">
        <x:v>DEP</x:v>
      </x:c>
      <x:c r="D264" s="24" t="str">
        <x:v>Expenditure</x:v>
      </x:c>
      <x:c r="E264" s="24" t="str">
        <x:v>Profit or loss</x:v>
      </x:c>
      <x:c r="F264" s="24"/>
    </x:row>
    <x:row r="265">
      <x:c r="A265" s="25" t="str">
        <x:v>67020</x:v>
      </x:c>
      <x:c r="B265" s="24" t="str">
        <x:v>Depreciation - plant and machinery</x:v>
      </x:c>
      <x:c r="C265" s="24" t="str">
        <x:v>DEP</x:v>
      </x:c>
      <x:c r="D265" s="24" t="str">
        <x:v>Expenditure</x:v>
      </x:c>
      <x:c r="E265" s="24" t="str">
        <x:v>Profit or loss</x:v>
      </x:c>
      <x:c r="F265" s="24"/>
    </x:row>
    <x:row r="266">
      <x:c r="A266" s="25" t="str">
        <x:v>67030</x:v>
      </x:c>
      <x:c r="B266" s="24" t="str">
        <x:v>Depreciation - motor vehicles</x:v>
      </x:c>
      <x:c r="C266" s="24" t="str">
        <x:v>DEP</x:v>
      </x:c>
      <x:c r="D266" s="24" t="str">
        <x:v>Expenditure</x:v>
      </x:c>
      <x:c r="E266" s="24" t="str">
        <x:v>Profit or loss</x:v>
      </x:c>
      <x:c r="F266" s="24"/>
    </x:row>
    <x:row r="267">
      <x:c r="A267" s="25" t="str">
        <x:v>67040</x:v>
      </x:c>
      <x:c r="B267" s="24" t="str">
        <x:v>Depreciation - furniture and fittings</x:v>
      </x:c>
      <x:c r="C267" s="24" t="str">
        <x:v>DEP</x:v>
      </x:c>
      <x:c r="D267" s="24" t="str">
        <x:v>Expenditure</x:v>
      </x:c>
      <x:c r="E267" s="24" t="str">
        <x:v>Profit or loss</x:v>
      </x:c>
      <x:c r="F267" s="24"/>
    </x:row>
    <x:row r="268">
      <x:c r="A268" s="25" t="str">
        <x:v>67050</x:v>
      </x:c>
      <x:c r="B268" s="24" t="str">
        <x:v>Depreciation - computers and equipment</x:v>
      </x:c>
      <x:c r="C268" s="24" t="str">
        <x:v>DEP</x:v>
      </x:c>
      <x:c r="D268" s="24" t="str">
        <x:v>Expenditure</x:v>
      </x:c>
      <x:c r="E268" s="24" t="str">
        <x:v>Profit or loss</x:v>
      </x:c>
      <x:c r="F268" s="24"/>
    </x:row>
    <x:row r="269">
      <x:c r="A269" s="25" t="str">
        <x:v>67060</x:v>
      </x:c>
      <x:c r="B269" s="24" t="str">
        <x:v>Amortisation - intangible assets</x:v>
      </x:c>
      <x:c r="C269" s="24" t="str">
        <x:v>DEP</x:v>
      </x:c>
      <x:c r="D269" s="24" t="str">
        <x:v>Expenditure</x:v>
      </x:c>
      <x:c r="E269" s="24" t="str">
        <x:v>Profit or loss</x:v>
      </x:c>
      <x:c r="F269" s="24"/>
    </x:row>
    <x:row r="270">
      <x:c r="A270" s="25" t="str">
        <x:v>67070</x:v>
      </x:c>
      <x:c r="B270" s="24" t="str">
        <x:v>Depreciation - right-of-use assets</x:v>
      </x:c>
      <x:c r="C270" s="24" t="str">
        <x:v>DEP</x:v>
      </x:c>
      <x:c r="D270" s="24" t="str">
        <x:v>Expenditure</x:v>
      </x:c>
      <x:c r="E270" s="24" t="str">
        <x:v>Profit or loss</x:v>
      </x:c>
      <x:c r="F270" s="24"/>
    </x:row>
    <x:row r="271">
      <x:c r="A271" s="25" t="str">
        <x:v>68000</x:v>
      </x:c>
      <x:c r="B271" s="24" t="str">
        <x:v>Asset impairment charge</x:v>
      </x:c>
      <x:c r="C271" s="24" t="str">
        <x:v>DEP</x:v>
      </x:c>
      <x:c r="D271" s="24" t="str">
        <x:v>Expenditure</x:v>
      </x:c>
      <x:c r="E271" s="24" t="str">
        <x:v>Profit or loss</x:v>
      </x:c>
      <x:c r="F271" s="24"/>
    </x:row>
    <x:row r="272">
      <x:c r="A272" s="25" t="str">
        <x:v>69000</x:v>
      </x:c>
      <x:c r="B272" s="24" t="str">
        <x:v>Current income tax expense</x:v>
      </x:c>
      <x:c r="C272" s="24" t="str">
        <x:v>DEP</x:v>
      </x:c>
      <x:c r="D272" s="24" t="str">
        <x:v>Expenditure</x:v>
      </x:c>
      <x:c r="E272" s="24" t="str">
        <x:v>Profit or loss</x:v>
      </x:c>
      <x:c r="F272" s="24"/>
    </x:row>
    <x:row r="273">
      <x:c r="A273" s="25" t="str">
        <x:v>69010</x:v>
      </x:c>
      <x:c r="B273" s="24" t="str">
        <x:v>Deferred income tax expense / (credit)</x:v>
      </x:c>
      <x:c r="C273" s="24" t="str">
        <x:v>DEP</x:v>
      </x:c>
      <x:c r="D273" s="24" t="str">
        <x:v>Expenditure</x:v>
      </x:c>
      <x:c r="E273" s="24" t="str">
        <x:v>Profit or loss</x:v>
      </x:c>
      <x:c r="F273" s="24"/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4ff4e98887454150"/>
  </x:tableParts>
</x:worksheet>
</file>